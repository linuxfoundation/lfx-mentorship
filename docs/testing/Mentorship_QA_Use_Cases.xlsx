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dmin" sheetId="3" state="visible" r:id="rId5"/>
    <sheet name="Mentor" sheetId="4" state="visible" r:id="rId6"/>
    <sheet name="Mentee" sheetId="5" state="visible" r:id="rId7"/>
    <sheet name="Program Review" sheetId="6" state="visible" r:id="rId8"/>
    <sheet name="BFF API" sheetId="7" state="visible" r:id="rId9"/>
    <sheet name="Findings" sheetId="8" state="visible" r:id="rId10"/>
    <sheet name="Open Questions" sheetId="9" state="visible" r:id="rId11"/>
    <sheet name="Endpoints" sheetId="10" state="visible" r:id="rId12"/>
  </sheets>
  <definedNames>
    <definedName function="false" hidden="true" localSheetId="2" name="_xlnm._FilterDatabase" vbProcedure="false">Admin!$A$1:$O$190</definedName>
    <definedName function="false" hidden="true" localSheetId="6" name="_xlnm._FilterDatabase" vbProcedure="false">'BFF API'!$A$1:$O$42</definedName>
    <definedName function="false" hidden="true" localSheetId="9" name="_xlnm._FilterDatabase" vbProcedure="false">Endpoints!$A$1:$J$62</definedName>
    <definedName function="false" hidden="true" localSheetId="7" name="_xlnm._FilterDatabase" vbProcedure="false">Findings!$A$1:$J$34</definedName>
    <definedName function="false" hidden="true" localSheetId="4" name="_xlnm._FilterDatabase" vbProcedure="false">Mentee!$A$1:$O$119</definedName>
    <definedName function="false" hidden="true" localSheetId="3" name="_xlnm._FilterDatabase" vbProcedure="false">Mentor!$A$1:$O$111</definedName>
    <definedName function="false" hidden="true" localSheetId="8" name="_xlnm._FilterDatabase" vbProcedure="false">'Open Questions'!$A$1:$G$32</definedName>
    <definedName function="false" hidden="true" localSheetId="5" name="_xlnm._FilterDatabase" vbProcedure="false">'Program Review'!$A$1:$O$26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<sst xmlns="http://schemas.openxmlformats.org/spreadsheetml/2006/main" count="6310" uniqueCount="2085">
  <si>
    <t xml:space="preserve">LFX Mentorship - QA Use Cases (first pass)</t>
  </si>
  <si>
    <t xml:space="preserve">Scope: frontend + BFF in lfx-self-serve (apps/lfx-one/src/app/modules/mentorship and apps/lfx-one/src/server/**/mentorship*). Backend lfx-mentorship was not available; its behaviour is inferred from BFF calls. Anything unconfirmed is in 'Open Questions'.</t>
  </si>
  <si>
    <t xml:space="preserve">Source of truth: the current lfx-self-serve code. The spec-kit docs (specs/011, specs/012) were removed as outdated, so expected results describe what the code does today.</t>
  </si>
  <si>
    <t xml:space="preserve">How to use</t>
  </si>
  <si>
    <t xml:space="preserve">1. Each area sheet has one row per scenario, grouped by use case (UC ID). Alternating shading marks use-case groups.</t>
  </si>
  <si>
    <t xml:space="preserve">2. Fill the yellow columns while testing: Status (dropdown), Tester, Date, Jira / Bug, Notes. The Summary sheet recalculates.</t>
  </si>
  <si>
    <t xml:space="preserve">3. Type: Happy = main flow; Negative = validation and error handling; Edge = boundaries, state and race conditions; Security = authz, IDOR, impersonation, injection, redaction.</t>
  </si>
  <si>
    <t xml:space="preserve">4. Priority defaults: Happy and Security = P1, Negative = P2, Edge = P3, with some overrides. Adjust freely.</t>
  </si>
  <si>
    <t xml:space="preserve">5. Scenarios referencing 'finding F-xx' cover a possible bug, UX gap or open product question. See the Findings sheet and confirm the expected result before marking Pass or Fail.</t>
  </si>
  <si>
    <t xml:space="preserve">6. 'API:' scenarios are run directly against the BFF (curl, Postman, or browser devtools) with a valid session cookie.</t>
  </si>
  <si>
    <t xml:space="preserve">7. Endpoints sheet: all 61 BFF endpoints. Use it for BFF-02/03/09: test each as the correct role, a wrong role or another user's ids, and while impersonating.</t>
  </si>
  <si>
    <t xml:space="preserve">Test data / accounts needed</t>
  </si>
  <si>
    <t xml:space="preserve">- Users: program admin (2 programs), second admin of a different program, approver-team member, mentor (with and without profile), 2 mentees (with and without profile), user with no mentorship record, support user who can impersonate.</t>
  </si>
  <si>
    <t xml:space="preserve">- Programs in each status: pending review, open (published with open term), completed (only closed terms), rejected, hidden. A program with 4 open terms.</t>
  </si>
  <si>
    <t xml:space="preserve">- Applications in each status: pending (Applied and Tasks Completed), accepted, declined, withdrawn, graduated, legacy hold.</t>
  </si>
  <si>
    <t xml:space="preserve">- Tasks: file-required and not, with due dates in the past, today (UTC boundary) and future; submitted and completed tasks.</t>
  </si>
  <si>
    <t xml:space="preserve">- Files: PNG/JPEG &lt;= 2 MB and &gt; 2 MB, SVG, 0-byte; PDF/DOC/DOCX/TXT &lt;= 20 MB and &gt; 20 MB; .exe renamed to .pdf; unicode filenames.</t>
  </si>
  <si>
    <t xml:space="preserve">Environment notes</t>
  </si>
  <si>
    <t xml:space="preserve">- Feature flag: mentorship-enabled (LaunchDarkly). Non-prod override: localStorage lfx-feature-flag-overrides = {"mentorship-enabled":true}.</t>
  </si>
  <si>
    <t xml:space="preserve">- BFF upstream base: LFX_V2_SERVICE (+ /mentorship/v1). The BFF does no role checks; all role and ownership checks happen upstream, so authz tests must run against a real lfx-mentorship.</t>
  </si>
  <si>
    <t xml:space="preserve">- Existing automated coverage: ~690 server unit tests (upstream mocked) and 45 Playwright specs in apps/lfx-one/e2e/mentorship-*.spec.ts, which stub the BFF/upstream with synthetic data. Real end-to-end flows and real-upstream authz are untested. See finding F-33.</t>
  </si>
  <si>
    <t xml:space="preserve">- Commands: yarn start | yarn test:server | yarn test:app | yarn e2e</t>
  </si>
  <si>
    <t xml:space="preserve">LFX Mentorship - QA Use Case Coverage</t>
  </si>
  <si>
    <t xml:space="preserve">All counts are live formulas over the area sheets; update Status columns and this page recalculates.</t>
  </si>
  <si>
    <t xml:space="preserve">Area</t>
  </si>
  <si>
    <t xml:space="preserve">Use Cases</t>
  </si>
  <si>
    <t xml:space="preserve">Scenarios</t>
  </si>
  <si>
    <t xml:space="preserve">Happy</t>
  </si>
  <si>
    <t xml:space="preserve">Negative</t>
  </si>
  <si>
    <t xml:space="preserve">Edge</t>
  </si>
  <si>
    <t xml:space="preserve">Security</t>
  </si>
  <si>
    <t xml:space="preserve">P1</t>
  </si>
  <si>
    <t xml:space="preserve">P2</t>
  </si>
  <si>
    <t xml:space="preserve">P3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</si>
  <si>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</si>
  <si>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</si>
  <si>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</si>
  <si>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</si>
  <si>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</si>
  <si>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Executed %</t>
  </si>
  <si>
    <t xml:space="preserve">Pass % (of executed)</t>
  </si>
  <si>
    <t xml:space="preserve">Admin</t>
  </si>
  <si>
    <t xml:space="preserve">Mentor</t>
  </si>
  <si>
    <t xml:space="preserve">Mentee</t>
  </si>
  <si>
    <t xml:space="preserve">Program Review</t>
  </si>
  <si>
    <t xml:space="preserve">BFF API</t>
  </si>
  <si>
    <t xml:space="preserve">Total</t>
  </si>
  <si>
    <t xml:space="preserve">Findings</t>
  </si>
  <si>
    <t xml:space="preserve">Total findings</t>
  </si>
  <si>
    <t xml:space="preserve">Open findings</t>
  </si>
  <si>
    <t xml:space="preserve">Open questions</t>
  </si>
  <si>
    <t xml:space="preserve">Endpoints</t>
  </si>
  <si>
    <t xml:space="preserve">Scenario ID</t>
  </si>
  <si>
    <t xml:space="preserve">UC ID</t>
  </si>
  <si>
    <t xml:space="preserve">Use Case</t>
  </si>
  <si>
    <t xml:space="preserve">Actor</t>
  </si>
  <si>
    <t xml:space="preserve">Preconditions</t>
  </si>
  <si>
    <t xml:space="preserve">Type</t>
  </si>
  <si>
    <t xml:space="preserve">Scenario / Steps</t>
  </si>
  <si>
    <t xml:space="preserve">Expected Result</t>
  </si>
  <si>
    <t xml:space="preserve">Priority</t>
  </si>
  <si>
    <t xml:space="preserve">Code Ref (apps/lfx-one/src/...)</t>
  </si>
  <si>
    <t xml:space="preserve">Status</t>
  </si>
  <si>
    <t xml:space="preserve">Tester</t>
  </si>
  <si>
    <t xml:space="preserve">Date</t>
  </si>
  <si>
    <t xml:space="preserve">Jira / Bug</t>
  </si>
  <si>
    <t xml:space="preserve">Notes</t>
  </si>
  <si>
    <t xml:space="preserve">ADM-01-01</t>
  </si>
  <si>
    <t xml:space="preserve">ADM-01</t>
  </si>
  <si>
    <t xml:space="preserve">Access the Mentorship admin area</t>
  </si>
  <si>
    <t xml:space="preserve">Any signed-in user</t>
  </si>
  <si>
    <t xml:space="preserve">LaunchDarkly flag mentorship-enabled state varies</t>
  </si>
  <si>
    <t xml:space="preserve">Flag ON; open /mentorship</t>
  </si>
  <si>
    <t xml:space="preserve">Redirects to /mentorship/admin; "Admin" header and "Enroll a Program" button visible</t>
  </si>
  <si>
    <t xml:space="preserve">app/shared/guards/mentorship-enabled.guard.ts; app/modules/mentorship/mentorship.routes.ts</t>
  </si>
  <si>
    <t xml:space="preserve">ADM-01-02</t>
  </si>
  <si>
    <t xml:space="preserve">Flag OFF; open /mentorship/admin</t>
  </si>
  <si>
    <t xml:space="preserve">Redirected to / (fails closed)</t>
  </si>
  <si>
    <t xml:space="preserve">ADM-01-03</t>
  </si>
  <si>
    <t xml:space="preserve">LaunchDarkly unreachable or slow to initialise; open /mentorship/admin</t>
  </si>
  <si>
    <t xml:space="preserve">ADM-01-04</t>
  </si>
  <si>
    <t xml:space="preserve">Non-prod: set localStorage lfx-feature-flag-overrides = {"mentorship-enabled":false} while LD says true</t>
  </si>
  <si>
    <t xml:space="preserve">Override wins; redirected to /</t>
  </si>
  <si>
    <t xml:space="preserve">ADM-01-05</t>
  </si>
  <si>
    <t xml:space="preserve">Flag OFF; call GET /api/mentorship/admin/programs directly with a valid session</t>
  </si>
  <si>
    <t xml:space="preserve">Still returns 200 (flag is UI-only) - confirm this is accepted by product</t>
  </si>
  <si>
    <t xml:space="preserve">ADM-01-06</t>
  </si>
  <si>
    <t xml:space="preserve">No session; call GET /api/mentorship/admin/programs</t>
  </si>
  <si>
    <t xml:space="preserve">401 JSON; no upstream call</t>
  </si>
  <si>
    <t xml:space="preserve">ADM-02-01</t>
  </si>
  <si>
    <t xml:space="preserve">ADM-02</t>
  </si>
  <si>
    <t xml:space="preserve">Programs list - load, search, filter, load more</t>
  </si>
  <si>
    <t xml:space="preserve">Program admin</t>
  </si>
  <si>
    <t xml:space="preserve">Signed in; manages &gt;= 1 program</t>
  </si>
  <si>
    <t xml:space="preserve">Open /mentorship/admin</t>
  </si>
  <si>
    <t xml:space="preserve">Cards for programs the user administers, sorted by name; each shows logo or initial avatar, project name, status badge, name, Mentors/Mentees/Graduated counts</t>
  </si>
  <si>
    <t xml:space="preserve">app/modules/mentorship/admin/admin.component.ts; admin/components/programs-list/programs-list.component.ts; server/controllers/mentorship-admin.controller.ts</t>
  </si>
  <si>
    <t xml:space="preserve">ADM-02-02</t>
  </si>
  <si>
    <t xml:space="preserve">Type in search box</t>
  </si>
  <si>
    <t xml:space="preserve">Debounced ~200 ms; matches program OR project name case-insensitively</t>
  </si>
  <si>
    <t xml:space="preserve">ADM-02-03</t>
  </si>
  <si>
    <t xml:space="preserve">Pick each status in filter (Open, Pending Review, Completed, Rejected, Hidden), then clear with x</t>
  </si>
  <si>
    <t xml:space="preserve">List filters to that status; clearing restores all</t>
  </si>
  <si>
    <t xml:space="preserve">ADM-02-04</t>
  </si>
  <si>
    <t xml:space="preserve">Manage &gt; 12 programs; click Load more</t>
  </si>
  <si>
    <t xml:space="preserve">Next page of 12 appended; Load more hidden once all loaded</t>
  </si>
  <si>
    <t xml:space="preserve">ADM-02-05</t>
  </si>
  <si>
    <t xml:space="preserve">User manages no programs</t>
  </si>
  <si>
    <t xml:space="preserve">Empty state "No programs yet / Enroll a program to get started."</t>
  </si>
  <si>
    <t xml:space="preserve">ADM-02-06</t>
  </si>
  <si>
    <t xml:space="preserve">Filters active with no match</t>
  </si>
  <si>
    <t xml:space="preserve">"No programs match your filters."</t>
  </si>
  <si>
    <t xml:space="preserve">ADM-02-07</t>
  </si>
  <si>
    <t xml:space="preserve">Search with % or _ characters</t>
  </si>
  <si>
    <t xml:space="preserve">Matched literally (not as wildcards)</t>
  </si>
  <si>
    <t xml:space="preserve">ADM-02-08</t>
  </si>
  <si>
    <t xml:space="preserve">Search with &gt; 100 chars or leading/trailing spaces</t>
  </si>
  <si>
    <t xml:space="preserve">Trimmed and cut to 100 chars</t>
  </si>
  <si>
    <t xml:space="preserve">ADM-02-09</t>
  </si>
  <si>
    <t xml:space="preserve">Upstream returns unknown admin_status</t>
  </si>
  <si>
    <t xml:space="preserve">Card shows Pending Review</t>
  </si>
  <si>
    <t xml:space="preserve">ADM-02-10</t>
  </si>
  <si>
    <t xml:space="preserve">First page load fails (simulate 5xx)</t>
  </si>
  <si>
    <t xml:space="preserve">"We couldn't load your programs. Please try again." with Retry (spinner while retrying)</t>
  </si>
  <si>
    <t xml:space="preserve">ADM-02-11</t>
  </si>
  <si>
    <t xml:space="preserve">Load more page fails</t>
  </si>
  <si>
    <t xml:space="preserve">Loaded cards stay; Load more still available</t>
  </si>
  <si>
    <t xml:space="preserve">ADM-02-12</t>
  </si>
  <si>
    <t xml:space="preserve">API: GET /admin/programs?status=foo; limit=0; limit=51; offset=-1; repeated status param</t>
  </si>
  <si>
    <t xml:space="preserve">400 for each</t>
  </si>
  <si>
    <t xml:space="preserve">ADM-03-01</t>
  </si>
  <si>
    <t xml:space="preserve">ADM-03</t>
  </si>
  <si>
    <t xml:space="preserve">Add logo from a program card</t>
  </si>
  <si>
    <t xml:space="preserve">Program status pending or published; no logo</t>
  </si>
  <si>
    <t xml:space="preserve">"Logo missing" hint shown; click Add logo; pick PNG/JPEG &lt;= 2 MB</t>
  </si>
  <si>
    <t xml:space="preserve">Toast "Logo added."; list reloads with logo</t>
  </si>
  <si>
    <t xml:space="preserve">admin/components/program-card/program-card.component.ts; server/helpers/mentorship-admin-program.helper.ts</t>
  </si>
  <si>
    <t xml:space="preserve">ADM-03-02</t>
  </si>
  <si>
    <t xml:space="preserve">Pick SVG/GIF/WebP</t>
  </si>
  <si>
    <t xml:space="preserve">"Program logo is not the right file type."; no request sent</t>
  </si>
  <si>
    <t xml:space="preserve">ADM-03-03</t>
  </si>
  <si>
    <t xml:space="preserve">Pick file &gt; 2 MB</t>
  </si>
  <si>
    <t xml:space="preserve">"...must be 2 MB or smaller."; no request sent</t>
  </si>
  <si>
    <t xml:space="preserve">ADM-03-04</t>
  </si>
  <si>
    <t xml:space="preserve">Pick empty (0 byte) file</t>
  </si>
  <si>
    <t xml:space="preserve">"...file is empty."; no request sent</t>
  </si>
  <si>
    <t xml:space="preserve">ADM-03-05</t>
  </si>
  <si>
    <t xml:space="preserve">Upstream 403 on upload</t>
  </si>
  <si>
    <t xml:space="preserve">"You don't have permission to change this program's logo."; not retried; card unchanged</t>
  </si>
  <si>
    <t xml:space="preserve">ADM-03-06</t>
  </si>
  <si>
    <t xml:space="preserve">Upstream 503</t>
  </si>
  <si>
    <t xml:space="preserve">"Uploads are unavailable right now..."</t>
  </si>
  <si>
    <t xml:space="preserve">ADM-03-07</t>
  </si>
  <si>
    <t xml:space="preserve">Transient upload error</t>
  </si>
  <si>
    <t xml:space="preserve">Retried once automatically</t>
  </si>
  <si>
    <t xml:space="preserve">ADM-03-08</t>
  </si>
  <si>
    <t xml:space="preserve">Rejected or hidden program</t>
  </si>
  <si>
    <t xml:space="preserve">No logo hint shown; clicking Add logo never navigates to program</t>
  </si>
  <si>
    <t xml:space="preserve">ADM-03-09</t>
  </si>
  <si>
    <t xml:space="preserve">Upload while impersonating</t>
  </si>
  <si>
    <t xml:space="preserve">403 IMPERSONATION_READ_ONLY; toast shows server read-only message</t>
  </si>
  <si>
    <t xml:space="preserve">ADM-04-01</t>
  </si>
  <si>
    <t xml:space="preserve">ADM-04</t>
  </si>
  <si>
    <t xml:space="preserve">Program detail page - load, header, tabs</t>
  </si>
  <si>
    <t xml:space="preserve">Admin of program</t>
  </si>
  <si>
    <t xml:space="preserve">Open /mentorship/admin/:programId</t>
  </si>
  <si>
    <t xml:space="preserve">Header: name, project, status badge, "View Public Page" (new tab to &lt;mentorship&gt;/programs/&lt;id&gt;), Edit Program; tabs with counts: Current Mentees, Past Mentees, Mentors, Terms</t>
  </si>
  <si>
    <t xml:space="preserve">admin/program-detail/program-detail.component.ts; program-detail-header.component.ts</t>
  </si>
  <si>
    <t xml:space="preserve">ADM-04-02</t>
  </si>
  <si>
    <t xml:space="preserve">Keyboard: arrow keys, Home, End on tabs</t>
  </si>
  <si>
    <t xml:space="preserve">Focus/selection moves between tabs</t>
  </si>
  <si>
    <t xml:space="preserve">ADM-04-03</t>
  </si>
  <si>
    <t xml:space="preserve">Pending-review program</t>
  </si>
  <si>
    <t xml:space="preserve">Only Terms tab shown and selected</t>
  </si>
  <si>
    <t xml:space="preserve">ADM-04-04</t>
  </si>
  <si>
    <t xml:space="preserve">Published program with only closed terms / any open term / no terms</t>
  </si>
  <si>
    <t xml:space="preserve">Status reads Completed / Open / Open</t>
  </si>
  <si>
    <t xml:space="preserve">ADM-04-05</t>
  </si>
  <si>
    <t xml:space="preserve">One of the count reads fails</t>
  </si>
  <si>
    <t xml:space="preserve">That count shows "-" not 0</t>
  </si>
  <si>
    <t xml:space="preserve">ADM-04-06</t>
  </si>
  <si>
    <t xml:space="preserve">Program the user doesn't manage</t>
  </si>
  <si>
    <t xml:space="preserve">403 -&gt; "No access to this program" with Back to programs</t>
  </si>
  <si>
    <t xml:space="preserve">ADM-04-07</t>
  </si>
  <si>
    <t xml:space="preserve">Unknown UUID</t>
  </si>
  <si>
    <t xml:space="preserve">404 -&gt; "Program not found"</t>
  </si>
  <si>
    <t xml:space="preserve">ADM-04-08</t>
  </si>
  <si>
    <t xml:space="preserve">Non-UUID id (slug or junk)</t>
  </si>
  <si>
    <t xml:space="preserve">BFF 400 -&gt; generic "We could not load this program. Try again." with Retry (see finding F-05)</t>
  </si>
  <si>
    <t xml:space="preserve">ADM-05-01</t>
  </si>
  <si>
    <t xml:space="preserve">ADM-05</t>
  </si>
  <si>
    <t xml:space="preserve">Hide / unhide program</t>
  </si>
  <si>
    <t xml:space="preserve">Status Open or Completed (hide) / Hidden (unhide)</t>
  </si>
  <si>
    <t xml:space="preserve">... menu &gt; Hide &gt; confirm</t>
  </si>
  <si>
    <t xml:space="preserve">Toast "Program hidden."; badge Hidden</t>
  </si>
  <si>
    <t xml:space="preserve">program-detail-header.component.ts; program-detail.component.ts</t>
  </si>
  <si>
    <t xml:space="preserve">ADM-05-02</t>
  </si>
  <si>
    <t xml:space="preserve">... menu &gt; Unhide &gt; confirm</t>
  </si>
  <si>
    <t xml:space="preserve">Toast "Program unhidden."; badge restored</t>
  </si>
  <si>
    <t xml:space="preserve">ADM-05-03</t>
  </si>
  <si>
    <t xml:space="preserve">Hide when program has active applications (upstream 409)</t>
  </si>
  <si>
    <t xml:space="preserve">"This program can't be hidden: it has active applications, or its status has changed. The page has been refreshed."; header reloads</t>
  </si>
  <si>
    <t xml:space="preserve">ADM-05-04</t>
  </si>
  <si>
    <t xml:space="preserve">Pending-review or rejected program</t>
  </si>
  <si>
    <t xml:space="preserve">No ... menu</t>
  </si>
  <si>
    <t xml:space="preserve">ADM-05-05</t>
  </si>
  <si>
    <t xml:space="preserve">While request saving</t>
  </si>
  <si>
    <t xml:space="preserve">Menu button disabled</t>
  </si>
  <si>
    <t xml:space="preserve">ADM-05-06</t>
  </si>
  <si>
    <t xml:space="preserve">Hide while impersonating</t>
  </si>
  <si>
    <t xml:space="preserve">403 + server message; no change</t>
  </si>
  <si>
    <t xml:space="preserve">ADM-06-01</t>
  </si>
  <si>
    <t xml:space="preserve">ADM-06</t>
  </si>
  <si>
    <t xml:space="preserve">Current Mentees tab - browse, filter, page</t>
  </si>
  <si>
    <t xml:space="preserve">Program with current-term applications</t>
  </si>
  <si>
    <t xml:space="preserve">Open tab</t>
  </si>
  <si>
    <t xml:space="preserve">10 rows/page; "Showing {first} to {last} of {total}"; columns Mentee(+note link), Term, Status, Application Dates, Other Active Applications, Actions</t>
  </si>
  <si>
    <t xml:space="preserve">admin/program-detail/components/current-mentees-tab/*</t>
  </si>
  <si>
    <t xml:space="preserve">ADM-06-02</t>
  </si>
  <si>
    <t xml:space="preserve">Search (debounced 300 ms); change status filter; change term filter</t>
  </si>
  <si>
    <t xml:space="preserve">Results filtered; any change resets to page 1</t>
  </si>
  <si>
    <t xml:space="preserve">ADM-06-03</t>
  </si>
  <si>
    <t xml:space="preserve">Status filter options</t>
  </si>
  <si>
    <t xml:space="preserve">All, Applied, Tasks Completed, Accepted, Declined, Withdrawn, Graduated</t>
  </si>
  <si>
    <t xml:space="preserve">ADM-06-04</t>
  </si>
  <si>
    <t xml:space="preserve">Term filter options</t>
  </si>
  <si>
    <t xml:space="preserve">"All open terms" + open terms only</t>
  </si>
  <si>
    <t xml:space="preserve">ADM-06-05</t>
  </si>
  <si>
    <t xml:space="preserve">Pending application where every task is Submitted/Completed</t>
  </si>
  <si>
    <t xml:space="preserve">Shows "Tasks Completed"; otherwise "Applied"</t>
  </si>
  <si>
    <t xml:space="preserve">ADM-06-06</t>
  </si>
  <si>
    <t xml:space="preserve">Legacy hold application</t>
  </si>
  <si>
    <t xml:space="preserve">Shown as pending</t>
  </si>
  <si>
    <t xml:space="preserve">ADM-06-07</t>
  </si>
  <si>
    <t xml:space="preserve">Other Active Applications column</t>
  </si>
  <si>
    <t xml:space="preserve">Lists only pending/accepted/graduated apps, each linking to /mentorship/admin/&lt;programId&gt;</t>
  </si>
  <si>
    <t xml:space="preserve">ADM-06-08</t>
  </si>
  <si>
    <t xml:space="preserve">Load failure</t>
  </si>
  <si>
    <t xml:space="preserve">"We could not load the mentees. Try again." with Retry</t>
  </si>
  <si>
    <t xml:space="preserve">ADM-06-09</t>
  </si>
  <si>
    <t xml:space="preserve">No rows</t>
  </si>
  <si>
    <t xml:space="preserve">"No current mentees."</t>
  </si>
  <si>
    <t xml:space="preserve">ADM-06-10</t>
  </si>
  <si>
    <t xml:space="preserve">API: type=current&amp;status=pending</t>
  </si>
  <si>
    <t xml:space="preserve">400 (Applied and Tasks Completed are separate filters; no combined Pending)</t>
  </si>
  <si>
    <t xml:space="preserve">ADM-06-11</t>
  </si>
  <si>
    <t xml:space="preserve">API: missing type, bad termId, limit&gt;50</t>
  </si>
  <si>
    <t xml:space="preserve">400</t>
  </si>
  <si>
    <t xml:space="preserve">ADM-07-01</t>
  </si>
  <si>
    <t xml:space="preserve">ADM-07</t>
  </si>
  <si>
    <t xml:space="preserve">View tasks on a mentee row</t>
  </si>
  <si>
    <t xml:space="preserve">Row with tasks</t>
  </si>
  <si>
    <t xml:space="preserve">Expand row first time</t>
  </si>
  <si>
    <t xml:space="preserve">"Loading tasks..." then tasks from GET /admin/applications/:id/tasks</t>
  </si>
  <si>
    <t xml:space="preserve">current-mentees-tab.component.ts; components/applicant-tasks-panel</t>
  </si>
  <si>
    <t xml:space="preserve">ADM-07-02</t>
  </si>
  <si>
    <t xml:space="preserve">Collapse and re-expand</t>
  </si>
  <si>
    <t xml:space="preserve">No new request (cached)</t>
  </si>
  <si>
    <t xml:space="preserve">ADM-07-03</t>
  </si>
  <si>
    <t xml:space="preserve">Page/filter change or decision</t>
  </si>
  <si>
    <t xml:space="preserve">Cache cleared; all rows collapse</t>
  </si>
  <si>
    <t xml:space="preserve">ADM-07-04</t>
  </si>
  <si>
    <t xml:space="preserve">Task read fails</t>
  </si>
  <si>
    <t xml:space="preserve">"We could not load the tasks. Try again." with Retry for that row</t>
  </si>
  <si>
    <t xml:space="preserve">ADM-07-05</t>
  </si>
  <si>
    <t xml:space="preserve">Edit task status so row no longer matches Applied/Tasks Completed filter</t>
  </si>
  <si>
    <t xml:space="preserve">Page reloads</t>
  </si>
  <si>
    <t xml:space="preserve">ADM-08-01</t>
  </si>
  <si>
    <t xml:space="preserve">ADM-08</t>
  </si>
  <si>
    <t xml:space="preserve">Accept an application</t>
  </si>
  <si>
    <t xml:space="preserve">Row status pending; term open</t>
  </si>
  <si>
    <t xml:space="preserve">Accept &gt; choose Full time or Part time &gt; confirm</t>
  </si>
  <si>
    <t xml:space="preserve">Toast "Application accepted"; table and counts refresh; mentee sees Accepted</t>
  </si>
  <si>
    <t xml:space="preserve">accept-application-dialog; current-mentees-tab.component.ts</t>
  </si>
  <si>
    <t xml:space="preserve">ADM-08-02</t>
  </si>
  <si>
    <t xml:space="preserve">Confirm without attendance type</t>
  </si>
  <si>
    <t xml:space="preserve">"Choose an attendance type to accept the application."</t>
  </si>
  <si>
    <t xml:space="preserve">ADM-08-03</t>
  </si>
  <si>
    <t xml:space="preserve">Term closed (upstream 422)</t>
  </si>
  <si>
    <t xml:space="preserve">"This term is closed, so the application can't be accepted."</t>
  </si>
  <si>
    <t xml:space="preserve">ADM-08-04</t>
  </si>
  <si>
    <t xml:space="preserve">Application changed elsewhere (409)</t>
  </si>
  <si>
    <t xml:space="preserve">"This application changed. The list has been refreshed."; reload</t>
  </si>
  <si>
    <t xml:space="preserve">ADM-08-05</t>
  </si>
  <si>
    <t xml:space="preserve">API: {status:'accepted'} without attendanceType; {status:'withdrawn'}</t>
  </si>
  <si>
    <t xml:space="preserve">ADM-08-06</t>
  </si>
  <si>
    <t xml:space="preserve">Close dialog without confirming</t>
  </si>
  <si>
    <t xml:space="preserve">No request sent</t>
  </si>
  <si>
    <t xml:space="preserve">ADM-09-01</t>
  </si>
  <si>
    <t xml:space="preserve">ADM-09</t>
  </si>
  <si>
    <t xml:space="preserve">Decline, withdraw, graduate</t>
  </si>
  <si>
    <t xml:space="preserve">Row pending or accepted</t>
  </si>
  <si>
    <t xml:space="preserve">Decline (pending or accepted) &gt; confirm</t>
  </si>
  <si>
    <t xml:space="preserve">Toast "Application declined"</t>
  </si>
  <si>
    <t xml:space="preserve">current-mentees-tab.component.ts; server/services/mentorship-admin.service.ts</t>
  </si>
  <si>
    <t xml:space="preserve">ADM-09-02</t>
  </si>
  <si>
    <t xml:space="preserve">Withdraw &gt; confirm ("...This can't be undone.")</t>
  </si>
  <si>
    <t xml:space="preserve">Toast "Application withdrawn"; BFF reads app first then withdraw-for-mentee</t>
  </si>
  <si>
    <t xml:space="preserve">ADM-09-03</t>
  </si>
  <si>
    <t xml:space="preserve">Graduate (accepted only) &gt; confirm</t>
  </si>
  <si>
    <t xml:space="preserve">Toast "Mentee graduated"</t>
  </si>
  <si>
    <t xml:space="preserve">ADM-09-04</t>
  </si>
  <si>
    <t xml:space="preserve">Graduate with unfinished tasks</t>
  </si>
  <si>
    <t xml:space="preserve">Confirm text adds "N tasks aren't Submitted or Completed." (singular/plural)</t>
  </si>
  <si>
    <t xml:space="preserve">ADM-09-05</t>
  </si>
  <si>
    <t xml:space="preserve">Action menu per status</t>
  </si>
  <si>
    <t xml:space="preserve">Pending: Accept/Decline/Withdraw; Accepted: Create task/Graduate/Decline/Withdraw; Declined/Withdrawn/Graduated: none</t>
  </si>
  <si>
    <t xml:space="preserve">ADM-09-06</t>
  </si>
  <si>
    <t xml:space="preserve">Withdraw app whose status changed elsewhere</t>
  </si>
  <si>
    <t xml:space="preserve">BFF 409 "This application changed..."; no write; refresh</t>
  </si>
  <si>
    <t xml:space="preserve">ADM-09-07</t>
  </si>
  <si>
    <t xml:space="preserve">Trigger second decision while one in flight</t>
  </si>
  <si>
    <t xml:space="preserve">Info toast "Another change is still being saved. Try again in a moment."</t>
  </si>
  <si>
    <t xml:space="preserve">ADM-09-08</t>
  </si>
  <si>
    <t xml:space="preserve">Switch tab while write in flight</t>
  </si>
  <si>
    <t xml:space="preserve">Write still toasts and refreshes counts</t>
  </si>
  <si>
    <t xml:space="preserve">ADM-09-09</t>
  </si>
  <si>
    <t xml:space="preserve">Withdraw a legacy hold application</t>
  </si>
  <si>
    <t xml:space="preserve">Allowed (hold is a withdrawable status); toast "Application withdrawn"</t>
  </si>
  <si>
    <t xml:space="preserve">ADM-10-01</t>
  </si>
  <si>
    <t xml:space="preserve">ADM-10</t>
  </si>
  <si>
    <t xml:space="preserve">Decline by term (bulk)</t>
  </si>
  <si>
    <t xml:space="preserve">&gt;= 1 open term with pending apps</t>
  </si>
  <si>
    <t xml:space="preserve">Open dialog; single open term pre-selected; Continue &gt; confirm</t>
  </si>
  <si>
    <t xml:space="preserve">Toast "N applications declined" (or "1 application declined"); pending apps in term become declined</t>
  </si>
  <si>
    <t xml:space="preserve">decline-by-term-dialog; current-mentees-tab.component.ts</t>
  </si>
  <si>
    <t xml:space="preserve">ADM-10-02</t>
  </si>
  <si>
    <t xml:space="preserve">Continue with no term selected</t>
  </si>
  <si>
    <t xml:space="preserve">"Choose a term to continue."</t>
  </si>
  <si>
    <t xml:space="preserve">ADM-10-03</t>
  </si>
  <si>
    <t xml:space="preserve">No open terms</t>
  </si>
  <si>
    <t xml:space="preserve">"There is no open term to decline applications in."; Continue hidden</t>
  </si>
  <si>
    <t xml:space="preserve">ADM-10-04</t>
  </si>
  <si>
    <t xml:space="preserve">Term name containing &lt;img src=x onerror=alert(1)&gt;</t>
  </si>
  <si>
    <t xml:space="preserve">Rendered escaped in confirm; no script runs</t>
  </si>
  <si>
    <t xml:space="preserve">ADM-10-05</t>
  </si>
  <si>
    <t xml:space="preserve">Decision in flight</t>
  </si>
  <si>
    <t xml:space="preserve">Button disabled</t>
  </si>
  <si>
    <t xml:space="preserve">ADM-11-01</t>
  </si>
  <si>
    <t xml:space="preserve">ADM-11</t>
  </si>
  <si>
    <t xml:space="preserve">Reviewer note on application</t>
  </si>
  <si>
    <t xml:space="preserve">Any application row</t>
  </si>
  <si>
    <t xml:space="preserve">Add/edit note &gt; save</t>
  </si>
  <si>
    <t xml:space="preserve">Toast "Note saved"; persists after reload</t>
  </si>
  <si>
    <t xml:space="preserve">services/admin-note-save.service.ts; server/helpers/mentorship-application-note.helper.ts</t>
  </si>
  <si>
    <t xml:space="preserve">ADM-11-02</t>
  </si>
  <si>
    <t xml:space="preserve">Clear note &gt; save</t>
  </si>
  <si>
    <t xml:space="preserve">Toast "Note cleared"</t>
  </si>
  <si>
    <t xml:space="preserve">ADM-11-03</t>
  </si>
  <si>
    <t xml:space="preserve">Save unchanged / dismiss dialog</t>
  </si>
  <si>
    <t xml:space="preserve">No request</t>
  </si>
  <si>
    <t xml:space="preserve">ADM-11-04</t>
  </si>
  <si>
    <t xml:space="preserve">Save during in-flight page read</t>
  </si>
  <si>
    <t xml:space="preserve">Saved note not overwritten by older read</t>
  </si>
  <si>
    <t xml:space="preserve">ADM-11-05</t>
  </si>
  <si>
    <t xml:space="preserve">API: note &gt; 2000 chars after trim; non-string note</t>
  </si>
  <si>
    <t xml:space="preserve">ADM-11-06</t>
  </si>
  <si>
    <t xml:space="preserve">403 / 404</t>
  </si>
  <si>
    <t xml:space="preserve">"You can no longer edit notes on this program..." / "This application no longer exists..."</t>
  </si>
  <si>
    <t xml:space="preserve">ADM-11-07</t>
  </si>
  <si>
    <t xml:space="preserve">Save while impersonating</t>
  </si>
  <si>
    <t xml:space="preserve">403 read-only</t>
  </si>
  <si>
    <t xml:space="preserve">ADM-12-01</t>
  </si>
  <si>
    <t xml:space="preserve">ADM-12</t>
  </si>
  <si>
    <t xml:space="preserve">Create task for accepted mentee (admin)</t>
  </si>
  <si>
    <t xml:space="preserve">Row accepted</t>
  </si>
  <si>
    <t xml:space="preserve">Create task: name, description, optional due date, file required flag</t>
  </si>
  <si>
    <t xml:space="preserve">POST /api/mentorship/tasks with applicationIds:[id]; page reloads; task visible to mentee</t>
  </si>
  <si>
    <t xml:space="preserve">current-mentees-tab.component.ts; services/mentorship-task-create.service.ts</t>
  </si>
  <si>
    <t xml:space="preserve">ADM-12-02</t>
  </si>
  <si>
    <t xml:space="preserve">Row not accepted</t>
  </si>
  <si>
    <t xml:space="preserve">Create task not offered</t>
  </si>
  <si>
    <t xml:space="preserve">ADM-12-03</t>
  </si>
  <si>
    <t xml:space="preserve">Another write in progress / same mentee create in progress</t>
  </si>
  <si>
    <t xml:space="preserve">Refused with "Please wait"</t>
  </si>
  <si>
    <t xml:space="preserve">ADM-13-01</t>
  </si>
  <si>
    <t xml:space="preserve">ADM-13</t>
  </si>
  <si>
    <t xml:space="preserve">Download mentees CSV by status</t>
  </si>
  <si>
    <t xml:space="preserve">Current or Past Mentees tab</t>
  </si>
  <si>
    <t xml:space="preserve">Download &gt; All / specific status</t>
  </si>
  <si>
    <t xml:space="preserve">File current-mentees-&lt;status or all&gt;.csv (or past-...); columns Name, Email, Status, Term, Tasks Submitted, Applied On, Updated On; UTF-8 BOM; opens correctly in Excel</t>
  </si>
  <si>
    <t xml:space="preserve">services/mentorship-mentees-export.service.ts; controller exportProgramMentees</t>
  </si>
  <si>
    <t xml:space="preserve">ADM-13-02</t>
  </si>
  <si>
    <t xml:space="preserve">CSV ignores search and term filters</t>
  </si>
  <si>
    <t xml:space="preserve">Export contains all rows of that status regardless of filters</t>
  </si>
  <si>
    <t xml:space="preserve">ADM-13-03</t>
  </si>
  <si>
    <t xml:space="preserve">No rows (204)</t>
  </si>
  <si>
    <t xml:space="preserve">Info toast "Nothing to download / No current mentees have this status."</t>
  </si>
  <si>
    <t xml:space="preserve">ADM-13-04</t>
  </si>
  <si>
    <t xml:space="preserve">&gt; 2,500 rows</t>
  </si>
  <si>
    <t xml:space="preserve">Warning "Download incomplete - The file holds only the first {n} mentees..."; X-Export-Truncated header</t>
  </si>
  <si>
    <t xml:space="preserve">ADM-13-05</t>
  </si>
  <si>
    <t xml:space="preserve">403</t>
  </si>
  <si>
    <t xml:space="preserve">"You don't have access to this program's mentees."</t>
  </si>
  <si>
    <t xml:space="preserve">ADM-13-06</t>
  </si>
  <si>
    <t xml:space="preserve">Other failure</t>
  </si>
  <si>
    <t xml:space="preserve">"The download failed. Please try again."</t>
  </si>
  <si>
    <t xml:space="preserve">ADM-13-07</t>
  </si>
  <si>
    <t xml:space="preserve">Download while impersonating</t>
  </si>
  <si>
    <t xml:space="preserve">Allowed (read)</t>
  </si>
  <si>
    <t xml:space="preserve">ADM-13-08</t>
  </si>
  <si>
    <t xml:space="preserve">Names with =, +, -, @ prefixes (CSV injection)</t>
  </si>
  <si>
    <t xml:space="preserve">Verify cells are not executed as formulas in Excel (not confirmed in code - check)</t>
  </si>
  <si>
    <t xml:space="preserve">ADM-14-01</t>
  </si>
  <si>
    <t xml:space="preserve">ADM-14</t>
  </si>
  <si>
    <t xml:space="preserve">Past Mentees tab</t>
  </si>
  <si>
    <t xml:space="preserve">Program with closed terms</t>
  </si>
  <si>
    <t xml:space="preserve">Read-only rows: Mentee, Term, Status; no actions/notes/tasks; 10 per page</t>
  </si>
  <si>
    <t xml:space="preserve">admin/program-detail/components/past-mentees-tab/*</t>
  </si>
  <si>
    <t xml:space="preserve">ADM-14-02</t>
  </si>
  <si>
    <t xml:space="preserve">Status filter</t>
  </si>
  <si>
    <t xml:space="preserve">All, Pending, Accepted, Declined, Withdrawn, Graduated</t>
  </si>
  <si>
    <t xml:space="preserve">ADM-14-03</t>
  </si>
  <si>
    <t xml:space="preserve">Term filter</t>
  </si>
  <si>
    <t xml:space="preserve">"All closed terms" + closed terms</t>
  </si>
  <si>
    <t xml:space="preserve">ADM-14-04</t>
  </si>
  <si>
    <t xml:space="preserve">Application appears on exactly one tab</t>
  </si>
  <si>
    <t xml:space="preserve">Decided by its term's open/closed state</t>
  </si>
  <si>
    <t xml:space="preserve">ADM-14-05</t>
  </si>
  <si>
    <t xml:space="preserve">Load error / empty</t>
  </si>
  <si>
    <t xml:space="preserve">Retry shown / "No past mentees."</t>
  </si>
  <si>
    <t xml:space="preserve">ADM-15-01</t>
  </si>
  <si>
    <t xml:space="preserve">ADM-15</t>
  </si>
  <si>
    <t xml:space="preserve">Mentors tab - list and change status</t>
  </si>
  <si>
    <t xml:space="preserve">Program has mentor members</t>
  </si>
  <si>
    <t xml:space="preserve">Columns: Mentor (avatar+name), Status, Invitation/Application date (or "-"), Profile Created? (Yes/No), Actions; search 300 ms; 6-status filter</t>
  </si>
  <si>
    <t xml:space="preserve">admin/program-detail/components/mentors-tab/*</t>
  </si>
  <si>
    <t xml:space="preserve">ADM-15-02</t>
  </si>
  <si>
    <t xml:space="preserve">Requested/Pending row: Approve &gt; confirm</t>
  </si>
  <si>
    <t xml:space="preserve">Toast "Mentor approved."</t>
  </si>
  <si>
    <t xml:space="preserve">ADM-15-03</t>
  </si>
  <si>
    <t xml:space="preserve">Requested/Pending row: Decline &gt; confirm</t>
  </si>
  <si>
    <t xml:space="preserve">Toast "Mentor declined."</t>
  </si>
  <si>
    <t xml:space="preserve">ADM-15-04</t>
  </si>
  <si>
    <t xml:space="preserve">Invited row: Revoke invite &gt; confirm</t>
  </si>
  <si>
    <t xml:space="preserve">Toast "Invite revoked." (status declined)</t>
  </si>
  <si>
    <t xml:space="preserve">ADM-15-05</t>
  </si>
  <si>
    <t xml:space="preserve">Approved row: Remove &gt; confirm</t>
  </si>
  <si>
    <t xml:space="preserve">Toast "Mentor removed." (status withdrawn)</t>
  </si>
  <si>
    <t xml:space="preserve">ADM-15-06</t>
  </si>
  <si>
    <t xml:space="preserve">Declined/Withdrawn rows</t>
  </si>
  <si>
    <t xml:space="preserve">No actions</t>
  </si>
  <si>
    <t xml:space="preserve">ADM-15-07</t>
  </si>
  <si>
    <t xml:space="preserve">409</t>
  </si>
  <si>
    <t xml:space="preserve">"This mentor changed. The list has been refreshed."; reload</t>
  </si>
  <si>
    <t xml:space="preserve">ADM-15-08</t>
  </si>
  <si>
    <t xml:space="preserve">API: PATCH mentor status 'invited'</t>
  </si>
  <si>
    <t xml:space="preserve">ADM-15-09</t>
  </si>
  <si>
    <t xml:space="preserve">Mentor email</t>
  </si>
  <si>
    <t xml:space="preserve">Never shown in table</t>
  </si>
  <si>
    <t xml:space="preserve">ADM-16-01</t>
  </si>
  <si>
    <t xml:space="preserve">ADM-16</t>
  </si>
  <si>
    <t xml:space="preserve">Invite a mentor</t>
  </si>
  <si>
    <t xml:space="preserve">Program published</t>
  </si>
  <si>
    <t xml:space="preserve">Type &gt;= 2 chars (name, LF username, or full email); pick person; Invite</t>
  </si>
  <si>
    <t xml:space="preserve">Results show name + LFID only; Invite disabled until picked; toast "Invitation sent."; field clears; list shows Invited</t>
  </si>
  <si>
    <t xml:space="preserve">mentors-tab.component.ts</t>
  </si>
  <si>
    <t xml:space="preserve">ADM-16-02</t>
  </si>
  <si>
    <t xml:space="preserve">Full email with no LF account</t>
  </si>
  <si>
    <t xml:space="preserve">"No LF account found. Ask them to create one at sso.linuxfoundation.org..."</t>
  </si>
  <si>
    <t xml:space="preserve">ADM-16-03</t>
  </si>
  <si>
    <t xml:space="preserve">Other no-match search</t>
  </si>
  <si>
    <t xml:space="preserve">"No one matches that search..."</t>
  </si>
  <si>
    <t xml:space="preserve">ADM-16-04</t>
  </si>
  <si>
    <t xml:space="preserve">Search &gt; 254 chars</t>
  </si>
  <si>
    <t xml:space="preserve">"That search is too long..."; no request</t>
  </si>
  <si>
    <t xml:space="preserve">ADM-16-05</t>
  </si>
  <si>
    <t xml:space="preserve">Program not published (400)</t>
  </si>
  <si>
    <t xml:space="preserve">"Mentors can only be invited to a published program."</t>
  </si>
  <si>
    <t xml:space="preserve">ADM-16-06</t>
  </si>
  <si>
    <t xml:space="preserve">Lookup 503</t>
  </si>
  <si>
    <t xml:space="preserve">"Couldn't look up accounts right now."</t>
  </si>
  <si>
    <t xml:space="preserve">ADM-16-07</t>
  </si>
  <si>
    <t xml:space="preserve">Already on program (409)</t>
  </si>
  <si>
    <t xml:space="preserve">"This person is already on the program."; field clears</t>
  </si>
  <si>
    <t xml:space="preserve">ADM-16-08</t>
  </si>
  <si>
    <t xml:space="preserve">No LF account on invite (422)</t>
  </si>
  <si>
    <t xml:space="preserve">No-LF-account message</t>
  </si>
  <si>
    <t xml:space="preserve">ADM-16-09</t>
  </si>
  <si>
    <t xml:space="preserve">Candidate search</t>
  </si>
  <si>
    <t xml:space="preserve">Sent in POST body; search text not in URL or logs</t>
  </si>
  <si>
    <t xml:space="preserve">ADM-16-10</t>
  </si>
  <si>
    <t xml:space="preserve">Impersonating</t>
  </si>
  <si>
    <t xml:space="preserve">Search works; Invite returns 403</t>
  </si>
  <si>
    <t xml:space="preserve">ADM-16-11</t>
  </si>
  <si>
    <t xml:space="preserve">BFF validation 400 (lfid &gt; 100 chars)</t>
  </si>
  <si>
    <t xml:space="preserve">Currently shows "only published program" message (finding F-04)</t>
  </si>
  <si>
    <t xml:space="preserve">ADM-17-01</t>
  </si>
  <si>
    <t xml:space="preserve">ADM-17</t>
  </si>
  <si>
    <t xml:space="preserve">Terms tab - create, edit, close, reopen, delete</t>
  </si>
  <si>
    <t xml:space="preserve">Program exists</t>
  </si>
  <si>
    <t xml:space="preserve">Columns: Term, Status, Pending, Declined, Accepted, Graduated, Dates, Application Dates, Actions</t>
  </si>
  <si>
    <t xml:space="preserve">admin/program-detail/components/terms-tab/*; server/helpers/mentorship-admin-term.helper.ts</t>
  </si>
  <si>
    <t xml:space="preserve">ADM-17-02</t>
  </si>
  <si>
    <t xml:space="preserve">Create Term &gt; valid dates</t>
  </si>
  <si>
    <t xml:space="preserve">Toast "Term created."</t>
  </si>
  <si>
    <t xml:space="preserve">ADM-17-03</t>
  </si>
  <si>
    <t xml:space="preserve">Edit term</t>
  </si>
  <si>
    <t xml:space="preserve">Toast "Term updated."</t>
  </si>
  <si>
    <t xml:space="preserve">ADM-17-04</t>
  </si>
  <si>
    <t xml:space="preserve">Close term (no accepted mentees) &gt; confirm "...automatically decline all pending applications"</t>
  </si>
  <si>
    <t xml:space="preserve">Toast "Term closed."; pending apps declined</t>
  </si>
  <si>
    <t xml:space="preserve">ADM-17-05</t>
  </si>
  <si>
    <t xml:space="preserve">Re-Open closed term</t>
  </si>
  <si>
    <t xml:space="preserve">Toast "Term re-opened."</t>
  </si>
  <si>
    <t xml:space="preserve">ADM-17-06</t>
  </si>
  <si>
    <t xml:space="preserve">Delete term with no applications</t>
  </si>
  <si>
    <t xml:space="preserve">Toast "Term deleted."</t>
  </si>
  <si>
    <t xml:space="preserve">ADM-17-07</t>
  </si>
  <si>
    <t xml:space="preserve">4 open terms already</t>
  </si>
  <si>
    <t xml:space="preserve">Create Term disabled; limit banner; Re-Open disabled</t>
  </si>
  <si>
    <t xml:space="preserve">ADM-17-08</t>
  </si>
  <si>
    <t xml:space="preserve">API: create 5th open term</t>
  </si>
  <si>
    <t xml:space="preserve">409 "You can have at most 4 open terms..."</t>
  </si>
  <si>
    <t xml:space="preserve">ADM-17-09</t>
  </si>
  <si>
    <t xml:space="preserve">Open term past its end month</t>
  </si>
  <si>
    <t xml:space="preserve">Banner "This term should be closed because it has ended..."</t>
  </si>
  <si>
    <t xml:space="preserve">ADM-17-10</t>
  </si>
  <si>
    <t xml:space="preserve">Close term with accepted mentees</t>
  </si>
  <si>
    <t xml:space="preserve">"Cannot Close Term" dialog with Ok only; no request</t>
  </si>
  <si>
    <t xml:space="preserve">ADM-17-11</t>
  </si>
  <si>
    <t xml:space="preserve">Closed and ended term</t>
  </si>
  <si>
    <t xml:space="preserve">No Edit / Re-Open</t>
  </si>
  <si>
    <t xml:space="preserve">ADM-17-12</t>
  </si>
  <si>
    <t xml:space="preserve">Term with applications</t>
  </si>
  <si>
    <t xml:space="preserve">Delete hidden; API DELETE -&gt; upstream 409</t>
  </si>
  <si>
    <t xml:space="preserve">ADM-17-13</t>
  </si>
  <si>
    <t xml:space="preserve">Server 400/409</t>
  </si>
  <si>
    <t xml:space="preserve">Server text shown; 409 reloads</t>
  </si>
  <si>
    <t xml:space="preserve">ADM-17-14</t>
  </si>
  <si>
    <t xml:space="preserve">Second write while one in flight</t>
  </si>
  <si>
    <t xml:space="preserve">"Another term change is still being saved."</t>
  </si>
  <si>
    <t xml:space="preserve">ADM-17-15</t>
  </si>
  <si>
    <t xml:space="preserve">API: date 2026-02-30; appStart &gt; appEnd; appStart &gt;= startDate; endDate &lt; startDate</t>
  </si>
  <si>
    <t xml:space="preserve">ADM-17-16</t>
  </si>
  <si>
    <t xml:space="preserve">API: applicationEnd == applicationStart</t>
  </si>
  <si>
    <t xml:space="preserve">Accepted by BFF but UI requires end &gt; start (finding F-01)</t>
  </si>
  <si>
    <t xml:space="preserve">ADM-18-01</t>
  </si>
  <si>
    <t xml:space="preserve">ADM-18</t>
  </si>
  <si>
    <t xml:space="preserve">Term dialog validation</t>
  </si>
  <si>
    <t xml:space="preserve">Term dialog open (wizard or Terms tab)</t>
  </si>
  <si>
    <t xml:space="preserve">Valid name (&lt;= 50, counter), start/end month-year, app start/end dates</t>
  </si>
  <si>
    <t xml:space="preserve">Saves</t>
  </si>
  <si>
    <t xml:space="preserve">admin/enroll-program/components/enroll-term-dialog/*; packages/shared/src/utils/mentorship.utils.ts</t>
  </si>
  <si>
    <t xml:space="preserve">ADM-18-02</t>
  </si>
  <si>
    <t xml:space="preserve">Empty name / name &gt; 50</t>
  </si>
  <si>
    <t xml:space="preserve">Required / max-length error</t>
  </si>
  <si>
    <t xml:space="preserve">ADM-18-03</t>
  </si>
  <si>
    <t xml:space="preserve">New term: start month before current month; app start before today; app end before today</t>
  </si>
  <si>
    <t xml:space="preserve">Errors shown</t>
  </si>
  <si>
    <t xml:space="preserve">ADM-18-04</t>
  </si>
  <si>
    <t xml:space="preserve">End before start; app start not before term start month; app end &lt;= app start; app end after end month</t>
  </si>
  <si>
    <t xml:space="preserve">ADM-18-05</t>
  </si>
  <si>
    <t xml:space="preserve">Year dropdown range</t>
  </si>
  <si>
    <t xml:space="preserve">Last year to 10 years ahead</t>
  </si>
  <si>
    <t xml:space="preserve">ADM-18-06</t>
  </si>
  <si>
    <t xml:space="preserve">Edit saved term with past dates unchanged</t>
  </si>
  <si>
    <t xml:space="preserve">"Today" rules skipped; no false errors</t>
  </si>
  <si>
    <t xml:space="preserve">ADM-19-01</t>
  </si>
  <si>
    <t xml:space="preserve">ADM-19</t>
  </si>
  <si>
    <t xml:space="preserve">Enroll a Program - Step 1 Program Details</t>
  </si>
  <si>
    <t xml:space="preserve">On /mentorship/admin/enroll</t>
  </si>
  <si>
    <t xml:space="preserve">Fill all valid fields: name 3-100, LF project, technologies, description, repo URL, logo PNG/JPEG &lt;= 2 MB</t>
  </si>
  <si>
    <t xml:space="preserve">Next proceeds to Setup</t>
  </si>
  <si>
    <t xml:space="preserve">enroll-details-step/*</t>
  </si>
  <si>
    <t xml:space="preserve">ADM-19-02</t>
  </si>
  <si>
    <t xml:space="preserve">Name &lt; 3 or &gt; 100 chars</t>
  </si>
  <si>
    <t xml:space="preserve">Validation error</t>
  </si>
  <si>
    <t xml:space="preserve">ADM-19-03</t>
  </si>
  <si>
    <t xml:space="preserve">Name already taken (live check after 300 ms)</t>
  </si>
  <si>
    <t xml:space="preserve">Blocks Next; taken message</t>
  </si>
  <si>
    <t xml:space="preserve">ADM-19-04</t>
  </si>
  <si>
    <t xml:space="preserve">Name check still running / failed</t>
  </si>
  <si>
    <t xml:space="preserve">Next blocked; "Could not verify the program name..."</t>
  </si>
  <si>
    <t xml:space="preserve">ADM-19-05</t>
  </si>
  <si>
    <t xml:space="preserve">LF project not selected; technologies empty; description empty</t>
  </si>
  <si>
    <t xml:space="preserve">Required errors; toast "Check this step" + red banner</t>
  </si>
  <si>
    <t xml:space="preserve">ADM-19-06</t>
  </si>
  <si>
    <t xml:space="preserve">Description &gt; 3000 plain chars or raw HTML &gt; 18000</t>
  </si>
  <si>
    <t xml:space="preserve">Too long / "too much formatting"</t>
  </si>
  <si>
    <t xml:space="preserve">ADM-19-07</t>
  </si>
  <si>
    <t xml:space="preserve">Invalid repo / website / Code of Conduct URL</t>
  </si>
  <si>
    <t xml:space="preserve">Invalid URL error</t>
  </si>
  <si>
    <t xml:space="preserve">ADM-19-08</t>
  </si>
  <si>
    <t xml:space="preserve">CII ID non-positive integer / invalid / still loading / unavailable</t>
  </si>
  <si>
    <t xml:space="preserve">Blocks Next</t>
  </si>
  <si>
    <t xml:space="preserve">ADM-19-09</t>
  </si>
  <si>
    <t xml:space="preserve">Valid CII ID</t>
  </si>
  <si>
    <t xml:space="preserve">Badge shown</t>
  </si>
  <si>
    <t xml:space="preserve">ADM-19-10</t>
  </si>
  <si>
    <t xml:space="preserve">LF project picker: search, scroll pages, Retry on failure</t>
  </si>
  <si>
    <t xml:space="preserve">Works; Retry recovers</t>
  </si>
  <si>
    <t xml:space="preserve">ADM-19-11</t>
  </si>
  <si>
    <t xml:space="preserve">Technologies "a, A, b"</t>
  </si>
  <si>
    <t xml:space="preserve">Comma-split; case-insensitive de-dup -&gt; a, b</t>
  </si>
  <si>
    <t xml:space="preserve">ADM-19-12</t>
  </si>
  <si>
    <t xml:space="preserve">Import from existing program</t>
  </si>
  <si>
    <t xml:space="preserve">Details, technologies, skills, prerequisites filled; terms empty; logo and T&amp;C not copied</t>
  </si>
  <si>
    <t xml:space="preserve">ADM-19-13</t>
  </si>
  <si>
    <t xml:space="preserve">Import fails</t>
  </si>
  <si>
    <t xml:space="preserve">"Couldn't load that program. You can still enroll from scratch."; form unchanged</t>
  </si>
  <si>
    <t xml:space="preserve">ADM-19-14</t>
  </si>
  <si>
    <t xml:space="preserve">Import list fails</t>
  </si>
  <si>
    <t xml:space="preserve">"Couldn't load your programs to import from..."</t>
  </si>
  <si>
    <t xml:space="preserve">ADM-19-15</t>
  </si>
  <si>
    <t xml:space="preserve">Choose None after import</t>
  </si>
  <si>
    <t xml:space="preserve">Form resets</t>
  </si>
  <si>
    <t xml:space="preserve">ADM-20-01</t>
  </si>
  <si>
    <t xml:space="preserve">ADM-20</t>
  </si>
  <si>
    <t xml:space="preserve">Enroll - Step 2 Setup and Step 3 Prerequisites</t>
  </si>
  <si>
    <t xml:space="preserve">Step 1 valid</t>
  </si>
  <si>
    <t xml:space="preserve">Add &gt;= 1 skill and 1-4 terms (add/edit/delete with confirm)</t>
  </si>
  <si>
    <t xml:space="preserve">Next proceeds</t>
  </si>
  <si>
    <t xml:space="preserve">enroll-setup-step; enroll-prerequisites-step; enroll-custom-prerequisite</t>
  </si>
  <si>
    <t xml:space="preserve">ADM-20-02</t>
  </si>
  <si>
    <t xml:space="preserve">No skills / no terms / 5th term</t>
  </si>
  <si>
    <t xml:space="preserve">ADM-20-03</t>
  </si>
  <si>
    <t xml:space="preserve">Toggle standard prerequisites (Resume, Cover Letter, School Enrollment, Permission, Coding Challenge); add custom</t>
  </si>
  <si>
    <t xml:space="preserve">Saved in form</t>
  </si>
  <si>
    <t xml:space="preserve">ADM-20-04</t>
  </si>
  <si>
    <t xml:space="preserve">No prerequisite selected</t>
  </si>
  <si>
    <t xml:space="preserve">"At least one prerequisite is required."</t>
  </si>
  <si>
    <t xml:space="preserve">ADM-20-05</t>
  </si>
  <si>
    <t xml:space="preserve">Custom prerequisite missing name (&lt;= 20) / description (&lt;= 500) / due date in past</t>
  </si>
  <si>
    <t xml:space="preserve">"Complete each custom prerequisite or delete it."</t>
  </si>
  <si>
    <t xml:space="preserve">ADM-20-06</t>
  </si>
  <si>
    <t xml:space="preserve">Coding Challenge without URL / invalid URL</t>
  </si>
  <si>
    <t xml:space="preserve">"The link is required." / invalid link error</t>
  </si>
  <si>
    <t xml:space="preserve">ADM-20-07</t>
  </si>
  <si>
    <t xml:space="preserve">Terms &amp; conditions not accepted</t>
  </si>
  <si>
    <t xml:space="preserve">"Please accept terms and conditions in order to proceed."</t>
  </si>
  <si>
    <t xml:space="preserve">ADM-21-01</t>
  </si>
  <si>
    <t xml:space="preserve">ADM-21</t>
  </si>
  <si>
    <t xml:space="preserve">Submit enrollment</t>
  </si>
  <si>
    <t xml:space="preserve">All steps valid</t>
  </si>
  <si>
    <t xml:space="preserve">Submit</t>
  </si>
  <si>
    <t xml:space="preserve">Program created (pending), logo uploaded, toast "Program submitted for review.", back on list as Pending Review; approver email sent (verify with upstream)</t>
  </si>
  <si>
    <t xml:space="preserve">enroll-program.component.ts; shared/services/mentorship-admin.service.ts</t>
  </si>
  <si>
    <t xml:space="preserve">ADM-21-02</t>
  </si>
  <si>
    <t xml:space="preserve">Double-click Submit</t>
  </si>
  <si>
    <t xml:space="preserve">Exactly one program created; inputs locked while saving</t>
  </si>
  <si>
    <t xml:space="preserve">ADM-21-03</t>
  </si>
  <si>
    <t xml:space="preserve">Dates become past between steps and submit</t>
  </si>
  <si>
    <t xml:space="preserve">Re-validation sends user back to failing step</t>
  </si>
  <si>
    <t xml:space="preserve">ADM-21-04</t>
  </si>
  <si>
    <t xml:space="preserve">Name taken at create (409)</t>
  </si>
  <si>
    <t xml:space="preserve">Back to Details with "This program name is taken."</t>
  </si>
  <si>
    <t xml:space="preserve">ADM-21-05</t>
  </si>
  <si>
    <t xml:space="preserve">Other create failure</t>
  </si>
  <si>
    <t xml:space="preserve">"We couldn't save the program. Your answers are kept..."</t>
  </si>
  <si>
    <t xml:space="preserve">ADM-21-06</t>
  </si>
  <si>
    <t xml:space="preserve">Program created but logo upload fails</t>
  </si>
  <si>
    <t xml:space="preserve">Amber banner "Program saved and sent for review, but the logo didn't upload." with Choose different logo / Retry; Retry uploads logo only, no duplicate program</t>
  </si>
  <si>
    <t xml:space="preserve">ADM-21-07</t>
  </si>
  <si>
    <t xml:space="preserve">Logo 403 right after create</t>
  </si>
  <si>
    <t xml:space="preserve">Retried 3x at 1s, 2s, 4s (permission propagation); other errors retried once except 400/401/413/415</t>
  </si>
  <si>
    <t xml:space="preserve">ADM-21-08</t>
  </si>
  <si>
    <t xml:space="preserve">Submit while impersonating</t>
  </si>
  <si>
    <t xml:space="preserve">403; nothing created</t>
  </si>
  <si>
    <t xml:space="preserve">ADM-21-09</t>
  </si>
  <si>
    <t xml:space="preserve">API: POST /admin/programs with termsAccepted != true; 0 or 5 terms; non-UUID projectId; prerequisites.required = "true" (string)</t>
  </si>
  <si>
    <t xml:space="preserve">ADM-22-01</t>
  </si>
  <si>
    <t xml:space="preserve">ADM-22</t>
  </si>
  <si>
    <t xml:space="preserve">Leave the enroll wizard (canDeactivate)</t>
  </si>
  <si>
    <t xml:space="preserve">Wizard open</t>
  </si>
  <si>
    <t xml:space="preserve">No changes; navigate away</t>
  </si>
  <si>
    <t xml:space="preserve">Leaves without prompt</t>
  </si>
  <si>
    <t xml:space="preserve">mentorship.routes.ts; enroll-program.component.ts (canLeave)</t>
  </si>
  <si>
    <t xml:space="preserve">ADM-22-02</t>
  </si>
  <si>
    <t xml:space="preserve">Unsaved changes; navigate away</t>
  </si>
  <si>
    <t xml:space="preserve">"Cancel enrollment - You will lose your changes..." Yes, cancel / Stay</t>
  </si>
  <si>
    <t xml:space="preserve">ADM-22-03</t>
  </si>
  <si>
    <t xml:space="preserve">Program saved but logo missing; navigate away</t>
  </si>
  <si>
    <t xml:space="preserve">"Logo missing... Leave anyway?"</t>
  </si>
  <si>
    <t xml:space="preserve">ADM-22-04</t>
  </si>
  <si>
    <t xml:space="preserve">Navigate while saving</t>
  </si>
  <si>
    <t xml:space="preserve">Silently blocked</t>
  </si>
  <si>
    <t xml:space="preserve">ADM-22-05</t>
  </si>
  <si>
    <t xml:space="preserve">After success</t>
  </si>
  <si>
    <t xml:space="preserve">No prompt</t>
  </si>
  <si>
    <t xml:space="preserve">ADM-22-06</t>
  </si>
  <si>
    <t xml:space="preserve">Edit mode with changes</t>
  </si>
  <si>
    <t xml:space="preserve">"Discard changes" prompt</t>
  </si>
  <si>
    <t xml:space="preserve">ADM-23-01</t>
  </si>
  <si>
    <t xml:space="preserve">ADM-23</t>
  </si>
  <si>
    <t xml:space="preserve">Edit Program</t>
  </si>
  <si>
    <t xml:space="preserve">Edit Program from detail</t>
  </si>
  <si>
    <t xml:space="preserve">Opens /admin/enroll?programId=...; title "Edit program"; form prefilled; open terms editable, closed read-only; Import and T&amp;C hidden; logo optional</t>
  </si>
  <si>
    <t xml:space="preserve">enroll-program.component.ts (submitUpdate, failUpdate); server/services/mentorship-admin.service.ts</t>
  </si>
  <si>
    <t xml:space="preserve">ADM-23-02</t>
  </si>
  <si>
    <t xml:space="preserve">Change fields &gt; Update</t>
  </si>
  <si>
    <t xml:space="preserve">Toast "Program updated."; back on program page</t>
  </si>
  <si>
    <t xml:space="preserve">ADM-23-03</t>
  </si>
  <si>
    <t xml:space="preserve">Keep own name</t>
  </si>
  <si>
    <t xml:space="preserve">Not flagged as taken</t>
  </si>
  <si>
    <t xml:space="preserve">ADM-23-04</t>
  </si>
  <si>
    <t xml:space="preserve">Rename to another program's name</t>
  </si>
  <si>
    <t xml:space="preserve">409 MENTORSHIP_PROGRAM_NAME_TAKEN; back to Details</t>
  </si>
  <si>
    <t xml:space="preserve">ADM-23-05</t>
  </si>
  <si>
    <t xml:space="preserve">Remove an open term that has applications (upstream 409)</t>
  </si>
  <si>
    <t xml:space="preserve">Removed terms restored; banner explains</t>
  </si>
  <si>
    <t xml:space="preserve">ADM-23-06</t>
  </si>
  <si>
    <t xml:space="preserve">Program load fails</t>
  </si>
  <si>
    <t xml:space="preserve">"We couldn't load this program. Try again." with Retry</t>
  </si>
  <si>
    <t xml:space="preserve">ADM-23-07</t>
  </si>
  <si>
    <t xml:space="preserve">Update ok, logo upload fails</t>
  </si>
  <si>
    <t xml:space="preserve">"The program is updated, but the new logo didn't upload. Try again."</t>
  </si>
  <si>
    <t xml:space="preserve">ADM-23-08</t>
  </si>
  <si>
    <t xml:space="preserve">Update after 5xx / no response, then retry</t>
  </si>
  <si>
    <t xml:space="preserve">Terms re-read; no duplicate terms created</t>
  </si>
  <si>
    <t xml:space="preserve">ADM-23-09</t>
  </si>
  <si>
    <t xml:space="preserve">Program with only closed terms</t>
  </si>
  <si>
    <t xml:space="preserve">Saves without open term</t>
  </si>
  <si>
    <t xml:space="preserve">ADM-23-10</t>
  </si>
  <si>
    <t xml:space="preserve">Edit on rejected / hidden program</t>
  </si>
  <si>
    <t xml:space="preserve">Edit offered for every status (finding F-06) - confirm expected</t>
  </si>
  <si>
    <t xml:space="preserve">MTR-01-01</t>
  </si>
  <si>
    <t xml:space="preserve">MTR-01</t>
  </si>
  <si>
    <t xml:space="preserve">Answer mentor invitation from email link</t>
  </si>
  <si>
    <t xml:space="preserve">Invited user</t>
  </si>
  <si>
    <t xml:space="preserve">Signed in; flag on; invite token in URL</t>
  </si>
  <si>
    <t xml:space="preserve">Open /mentorship/mentor/invites?token=&lt;valid&gt;; click Accept</t>
  </si>
  <si>
    <t xml:space="preserve">POST /mentor/invites/accept; "Invitation accepted" state with "Go to My Programs"; program appears in My Programs</t>
  </si>
  <si>
    <t xml:space="preserve">app/modules/mentorship/mentor/mentor-invite/*</t>
  </si>
  <si>
    <t xml:space="preserve">MTR-01-02</t>
  </si>
  <si>
    <t xml:space="preserve">Click Decline</t>
  </si>
  <si>
    <t xml:space="preserve">No confirmation; "Invitation declined" state; button goes to /mentorship/mentor/programs</t>
  </si>
  <si>
    <t xml:space="preserve">MTR-01-03</t>
  </si>
  <si>
    <t xml:space="preserve">Open link only (no click)</t>
  </si>
  <si>
    <t xml:space="preserve">No API request sent (safe against mail-scanner prefetch)</t>
  </si>
  <si>
    <t xml:space="preserve">MTR-01-04</t>
  </si>
  <si>
    <t xml:space="preserve">Token missing, blank, malformed, or &gt; 512 chars</t>
  </si>
  <si>
    <t xml:space="preserve">"This invitation link can't be used" immediately; no API call</t>
  </si>
  <si>
    <t xml:space="preserve">MTR-01-05</t>
  </si>
  <si>
    <t xml:space="preserve">Expired or already answered token (upstream 400/409)</t>
  </si>
  <si>
    <t xml:space="preserve">Invalid-link state</t>
  </si>
  <si>
    <t xml:space="preserve">MTR-01-06</t>
  </si>
  <si>
    <t xml:space="preserve">Token belongs to another account (upstream 403)</t>
  </si>
  <si>
    <t xml:space="preserve">"This invitation is for a different account"</t>
  </si>
  <si>
    <t xml:space="preserve">MTR-01-07</t>
  </si>
  <si>
    <t xml:space="preserve">While impersonating</t>
  </si>
  <si>
    <t xml:space="preserve">"You're viewing as another user" read-only state</t>
  </si>
  <si>
    <t xml:space="preserve">MTR-01-08</t>
  </si>
  <si>
    <t xml:space="preserve">5xx / network error</t>
  </si>
  <si>
    <t xml:space="preserve">"Something went wrong" with Try again (back to choice, no reload)</t>
  </si>
  <si>
    <t xml:space="preserve">MTR-01-09</t>
  </si>
  <si>
    <t xml:space="preserve">One button loading</t>
  </si>
  <si>
    <t xml:space="preserve">Other button disabled; leaving page doesn't cancel; changing ?token= resets state</t>
  </si>
  <si>
    <t xml:space="preserve">MTR-01-10</t>
  </si>
  <si>
    <t xml:space="preserve">Server logs</t>
  </si>
  <si>
    <t xml:space="preserve">Invite token redacted in page URL and upstream path</t>
  </si>
  <si>
    <t xml:space="preserve">MTR-02-01</t>
  </si>
  <si>
    <t xml:space="preserve">MTR-02</t>
  </si>
  <si>
    <t xml:space="preserve">Register as a mentor</t>
  </si>
  <si>
    <t xml:space="preserve">User without mentor profile</t>
  </si>
  <si>
    <t xml:space="preserve">Flag on; no mentor profile</t>
  </si>
  <si>
    <t xml:space="preserve">Fill introduction, &gt;= 1 skill, tick compliance and terms, Submit</t>
  </si>
  <si>
    <t xml:space="preserve">POST /mentor/profile 204; toast "Profile created"; picked programs requested; lands on My Programs</t>
  </si>
  <si>
    <t xml:space="preserve">mentor/mentor-register/*; packages/shared/src/utils/mentorship.utils.ts</t>
  </si>
  <si>
    <t xml:space="preserve">MTR-02-02</t>
  </si>
  <si>
    <t xml:space="preserve">Submit empty form</t>
  </si>
  <si>
    <t xml:space="preserve">"Introduction is required.", "Add at least one skill.", "Please confirm the compliance statement.", "Please accept the terms and conditions."; warn toast "Check your registration"</t>
  </si>
  <si>
    <t xml:space="preserve">MTR-02-03</t>
  </si>
  <si>
    <t xml:space="preserve">Introduction &gt; 3000 visible chars</t>
  </si>
  <si>
    <t xml:space="preserve">"Introduction must be 3000 characters or fewer."</t>
  </si>
  <si>
    <t xml:space="preserve">MTR-02-04</t>
  </si>
  <si>
    <t xml:space="preserve">&gt; 100 skills or skill &gt; 300 chars</t>
  </si>
  <si>
    <t xml:space="preserve">Skills-limit message on Submit (UI lets you add &gt; 100)</t>
  </si>
  <si>
    <t xml:space="preserve">MTR-02-05</t>
  </si>
  <si>
    <t xml:space="preserve">Introduction only &lt;p&gt;&lt;/p&gt;</t>
  </si>
  <si>
    <t xml:space="preserve">Treated as empty</t>
  </si>
  <si>
    <t xml:space="preserve">MTR-02-06</t>
  </si>
  <si>
    <t xml:space="preserve">Skills with case-insensitive duplicates / whitespace</t>
  </si>
  <si>
    <t xml:space="preserve">Trimmed and de-duplicated server-side</t>
  </si>
  <si>
    <t xml:space="preserve">MTR-02-07</t>
  </si>
  <si>
    <t xml:space="preserve">Profile already exists (409 MENTOR_PROFILE_EXISTS)</t>
  </si>
  <si>
    <t xml:space="preserve">Sticky banner "You already have a mentor profile, so we did not overwrite it." + Go to My Programs</t>
  </si>
  <si>
    <t xml:space="preserve">MTR-02-08</t>
  </si>
  <si>
    <t xml:space="preserve">400 with field errors</t>
  </si>
  <si>
    <t xml:space="preserve">Inline errors + warn toast</t>
  </si>
  <si>
    <t xml:space="preserve">MTR-02-09</t>
  </si>
  <si>
    <t xml:space="preserve">Other errors</t>
  </si>
  <si>
    <t xml:space="preserve">Banner that clears on next edit</t>
  </si>
  <si>
    <t xml:space="preserve">MTR-02-10</t>
  </si>
  <si>
    <t xml:space="preserve">Sticky read-only banner; nothing saved</t>
  </si>
  <si>
    <t xml:space="preserve">MTR-02-11</t>
  </si>
  <si>
    <t xml:space="preserve">API: crafted email / GitHub values in body</t>
  </si>
  <si>
    <t xml:space="preserve">Ignored; server resolves from identity</t>
  </si>
  <si>
    <t xml:space="preserve">MTR-02-12</t>
  </si>
  <si>
    <t xml:space="preserve">While submitting</t>
  </si>
  <si>
    <t xml:space="preserve">Fields locked; Submit and Cancel disabled</t>
  </si>
  <si>
    <t xml:space="preserve">MTR-02-13</t>
  </si>
  <si>
    <t xml:space="preserve">User with profile opens /mentorship/mentor</t>
  </si>
  <si>
    <t xml:space="preserve">Redirected to /mentorship/mentor/programs</t>
  </si>
  <si>
    <t xml:space="preserve">MTR-02-14</t>
  </si>
  <si>
    <t xml:space="preserve">Click Cancel</t>
  </si>
  <si>
    <t xml:space="preserve">Goes to /mentorship/admin (finding F-10)</t>
  </si>
  <si>
    <t xml:space="preserve">MTR-03-01</t>
  </si>
  <si>
    <t xml:space="preserve">MTR-03</t>
  </si>
  <si>
    <t xml:space="preserve">Pick programs on register form</t>
  </si>
  <si>
    <t xml:space="preserve">User registering as mentor</t>
  </si>
  <si>
    <t xml:space="preserve">Register form open</t>
  </si>
  <si>
    <t xml:space="preserve">Open picker</t>
  </si>
  <si>
    <t xml:space="preserve">First 20 published programs; scroll loads more</t>
  </si>
  <si>
    <t xml:space="preserve">mentor-register/components/mentor-programs-section/*</t>
  </si>
  <si>
    <t xml:space="preserve">MTR-03-02</t>
  </si>
  <si>
    <t xml:space="preserve">Pick a program</t>
  </si>
  <si>
    <t xml:space="preserve">Local "Pending" row; nothing sent yet; picking again does nothing</t>
  </si>
  <si>
    <t xml:space="preserve">MTR-03-03</t>
  </si>
  <si>
    <t xml:space="preserve">Withdraw local pick &gt; confirm</t>
  </si>
  <si>
    <t xml:space="preserve">Row removed; no API call</t>
  </si>
  <si>
    <t xml:space="preserve">MTR-03-04</t>
  </si>
  <si>
    <t xml:space="preserve">Search</t>
  </si>
  <si>
    <t xml:space="preserve">Debounced 300 ms; cut to 100 chars; % and _ literal; "Searching programs..." / "No results found"</t>
  </si>
  <si>
    <t xml:space="preserve">MTR-03-05</t>
  </si>
  <si>
    <t xml:space="preserve">Page load fails</t>
  </si>
  <si>
    <t xml:space="preserve">"We couldn't load programs." with Retry</t>
  </si>
  <si>
    <t xml:space="preserve">MTR-03-06</t>
  </si>
  <si>
    <t xml:space="preserve">After profile saved, request fails 404 / 409</t>
  </si>
  <si>
    <t xml:space="preserve">Toast "This program is no longer available." / "You already have a request, invitation or membership..."; still lands on My Programs</t>
  </si>
  <si>
    <t xml:space="preserve">MTR-03-07</t>
  </si>
  <si>
    <t xml:space="preserve">Multiple picks succeed</t>
  </si>
  <si>
    <t xml:space="preserve">One "Requests sent" toast listing programs</t>
  </si>
  <si>
    <t xml:space="preserve">MTR-03-08</t>
  </si>
  <si>
    <t xml:space="preserve">Pick a program you're already invited to</t>
  </si>
  <si>
    <t xml:space="preserve">Not disabled; 409 after profile created (finding F-11)</t>
  </si>
  <si>
    <t xml:space="preserve">MTR-04-01</t>
  </si>
  <si>
    <t xml:space="preserve">MTR-04</t>
  </si>
  <si>
    <t xml:space="preserve">My Programs list</t>
  </si>
  <si>
    <t xml:space="preserve">Active mentor on &gt;= 1 published program</t>
  </si>
  <si>
    <t xml:space="preserve">Open /mentorship/mentor/programs</t>
  </si>
  <si>
    <t xml:space="preserve">Card per program: project, status (Open/Completed), name, logo/initial, Mentees / Tasks to Review / Applicants counts</t>
  </si>
  <si>
    <t xml:space="preserve">mentor/mentor-programs/*</t>
  </si>
  <si>
    <t xml:space="preserve">MTR-04-02</t>
  </si>
  <si>
    <t xml:space="preserve">Click card or press Enter/Space</t>
  </si>
  <si>
    <t xml:space="preserve">Navigates to /mentorship/mentor/programs/:id</t>
  </si>
  <si>
    <t xml:space="preserve">MTR-04-03</t>
  </si>
  <si>
    <t xml:space="preserve">No programs / no mentorship record</t>
  </si>
  <si>
    <t xml:space="preserve">"No programs yet" (no CTA)</t>
  </si>
  <si>
    <t xml:space="preserve">MTR-04-04</t>
  </si>
  <si>
    <t xml:space="preserve">Load error</t>
  </si>
  <si>
    <t xml:space="preserve">"Could not load your programs" with Retry</t>
  </si>
  <si>
    <t xml:space="preserve">MTR-05-01</t>
  </si>
  <si>
    <t xml:space="preserve">MTR-05</t>
  </si>
  <si>
    <t xml:space="preserve">View mentor profile tab</t>
  </si>
  <si>
    <t xml:space="preserve">Has mentor profile</t>
  </si>
  <si>
    <t xml:space="preserve">Open Profile tab</t>
  </si>
  <si>
    <t xml:space="preserve">LFX profile card, About Me (sanitised HTML), skill chips, Mentoring History (program, term, N mentees, In Progress/Completed); in-progress first</t>
  </si>
  <si>
    <t xml:space="preserve">mentor-profile/*; server/helpers/mentorship-mentor-profile.helper.ts</t>
  </si>
  <si>
    <t xml:space="preserve">MTR-05-02</t>
  </si>
  <si>
    <t xml:space="preserve">Empty fields</t>
  </si>
  <si>
    <t xml:space="preserve">"No introduction added yet." / "No skills added yet." / "No mentoring history yet"</t>
  </si>
  <si>
    <t xml:space="preserve">MTR-05-03</t>
  </si>
  <si>
    <t xml:space="preserve">Open term not started yet</t>
  </si>
  <si>
    <t xml:space="preserve">Not listed in history</t>
  </si>
  <si>
    <t xml:space="preserve">MTR-05-04</t>
  </si>
  <si>
    <t xml:space="preserve">"Could not load your mentor profile" with Retry</t>
  </si>
  <si>
    <t xml:space="preserve">MTR-05-05</t>
  </si>
  <si>
    <t xml:space="preserve">Introduction containing &lt;script&gt; / onerror via API</t>
  </si>
  <si>
    <t xml:space="preserve">Rendered sanitised</t>
  </si>
  <si>
    <t xml:space="preserve">MTR-05-06</t>
  </si>
  <si>
    <t xml:space="preserve">User with no mentor profile opens tab</t>
  </si>
  <si>
    <t xml:space="preserve">Empty state shown; no guard (finding F-12)</t>
  </si>
  <si>
    <t xml:space="preserve">MTR-06-01</t>
  </si>
  <si>
    <t xml:space="preserve">MTR-06</t>
  </si>
  <si>
    <t xml:space="preserve">Edit mentor profile (drawer)</t>
  </si>
  <si>
    <t xml:space="preserve">Edit intro and/or skills &gt; Save</t>
  </si>
  <si>
    <t xml:space="preserve">PATCH sends only changed fields; toast "Profile updated"; drawer closes; page updated</t>
  </si>
  <si>
    <t xml:space="preserve">mentor-profile-edit-drawer/*; services/mentor-profile-save.service.ts</t>
  </si>
  <si>
    <t xml:space="preserve">MTR-06-02</t>
  </si>
  <si>
    <t xml:space="preserve">Save with no changes</t>
  </si>
  <si>
    <t xml:space="preserve">Drawer closes; no API call</t>
  </si>
  <si>
    <t xml:space="preserve">MTR-06-03</t>
  </si>
  <si>
    <t xml:space="preserve">Invalid fields</t>
  </si>
  <si>
    <t xml:space="preserve">Inline errors after Save; banner clears on edit</t>
  </si>
  <si>
    <t xml:space="preserve">MTR-06-04</t>
  </si>
  <si>
    <t xml:space="preserve">Server 400 / 404 / 409 / other</t>
  </si>
  <si>
    <t xml:space="preserve">Inline alert with mapped message; focus moves to alert</t>
  </si>
  <si>
    <t xml:space="preserve">MTR-06-05</t>
  </si>
  <si>
    <t xml:space="preserve">While saving</t>
  </si>
  <si>
    <t xml:space="preserve">Cannot close (X, Escape, outside click); fields locked</t>
  </si>
  <si>
    <t xml:space="preserve">MTR-06-06</t>
  </si>
  <si>
    <t xml:space="preserve">Server read-only message</t>
  </si>
  <si>
    <t xml:space="preserve">MTR-06-07</t>
  </si>
  <si>
    <t xml:space="preserve">API: unknown key, null, empty body</t>
  </si>
  <si>
    <t xml:space="preserve">MTR-07-01</t>
  </si>
  <si>
    <t xml:space="preserve">MTR-07</t>
  </si>
  <si>
    <t xml:space="preserve">Request to mentor a program and withdraw</t>
  </si>
  <si>
    <t xml:space="preserve">Has profile; drawer or picker open</t>
  </si>
  <si>
    <t xml:space="preserve">Pick program in drawer</t>
  </si>
  <si>
    <t xml:space="preserve">POST sent immediately; toast "Request sent"; shows Pending</t>
  </si>
  <si>
    <t xml:space="preserve">services/mentor-program-request.service.ts; services/mentor-request-withdraw.service.ts</t>
  </si>
  <si>
    <t xml:space="preserve">MTR-07-02</t>
  </si>
  <si>
    <t xml:space="preserve">Programs with Pending/Approved/Declined request or open invitation</t>
  </si>
  <si>
    <t xml:space="preserve">Listed but disabled with status note; Withdrawn can be re-picked</t>
  </si>
  <si>
    <t xml:space="preserve">MTR-07-03</t>
  </si>
  <si>
    <t xml:space="preserve">404 / 409</t>
  </si>
  <si>
    <t xml:space="preserve">Toast; 404 marks "No longer available"; cache refreshed</t>
  </si>
  <si>
    <t xml:space="preserve">MTR-07-04</t>
  </si>
  <si>
    <t xml:space="preserve">Withdraw Pending request &gt; confirm</t>
  </si>
  <si>
    <t xml:space="preserve">Toast "Request withdrawn"</t>
  </si>
  <si>
    <t xml:space="preserve">MTR-07-05</t>
  </si>
  <si>
    <t xml:space="preserve">Withdraw 404 / 409</t>
  </si>
  <si>
    <t xml:space="preserve">"This request no longer exists..." / "...no longer pending..."; refresh</t>
  </si>
  <si>
    <t xml:space="preserve">MTR-07-06</t>
  </si>
  <si>
    <t xml:space="preserve">Requests list load fails</t>
  </si>
  <si>
    <t xml:space="preserve">"We couldn't load your program requests." with Retry; picker disabled</t>
  </si>
  <si>
    <t xml:space="preserve">MTR-07-07</t>
  </si>
  <si>
    <t xml:space="preserve">API: withdraw another user's requestId</t>
  </si>
  <si>
    <t xml:space="preserve">Upstream 404; no change</t>
  </si>
  <si>
    <t xml:space="preserve">MTR-08-01</t>
  </si>
  <si>
    <t xml:space="preserve">MTR-08</t>
  </si>
  <si>
    <t xml:space="preserve">Answer invitation inside the app</t>
  </si>
  <si>
    <t xml:space="preserve">Invited mentor</t>
  </si>
  <si>
    <t xml:space="preserve">Open invitation exists</t>
  </si>
  <si>
    <t xml:space="preserve">Open invitations listed with "Invited" badge; Accept</t>
  </si>
  <si>
    <t xml:space="preserve">No confirm; toast "Invitation accepted / You are now a mentor of this program."; history refreshes</t>
  </si>
  <si>
    <t xml:space="preserve">services/mentor-invitation-respond.service.ts</t>
  </si>
  <si>
    <t xml:space="preserve">MTR-08-02</t>
  </si>
  <si>
    <t xml:space="preserve">Decline &gt; confirm "...Only a program administrator can invite you again."</t>
  </si>
  <si>
    <t xml:space="preserve">Toast "Invitation declined"</t>
  </si>
  <si>
    <t xml:space="preserve">MTR-08-03</t>
  </si>
  <si>
    <t xml:space="preserve">Stale-state message; list refreshes</t>
  </si>
  <si>
    <t xml:space="preserve">MTR-08-04</t>
  </si>
  <si>
    <t xml:space="preserve">Answer in flight</t>
  </si>
  <si>
    <t xml:space="preserve">All invitation buttons disabled</t>
  </si>
  <si>
    <t xml:space="preserve">MTR-09-01</t>
  </si>
  <si>
    <t xml:space="preserve">MTR-09</t>
  </si>
  <si>
    <t xml:space="preserve">Mentor program detail - load and header</t>
  </si>
  <si>
    <t xml:space="preserve">Mentor of program</t>
  </si>
  <si>
    <t xml:space="preserve">Open /mentorship/mentor/programs/:id</t>
  </si>
  <si>
    <t xml:space="preserve">Header name, project, status; tabs Tasks / Mentees / Applicants with counts; opens on Tasks</t>
  </si>
  <si>
    <t xml:space="preserve">mentor-program-detail/*</t>
  </si>
  <si>
    <t xml:space="preserve">MTR-09-02</t>
  </si>
  <si>
    <t xml:space="preserve">Counts</t>
  </si>
  <si>
    <t xml:space="preserve">Tasks = submitted tasks of accepted mentees; Mentees = accepted+graduated; Applicants = all apps on open terms incl. declined/withdrawn</t>
  </si>
  <si>
    <t xml:space="preserve">MTR-09-03</t>
  </si>
  <si>
    <t xml:space="preserve">Non-UUID id (400) / not your program (404)</t>
  </si>
  <si>
    <t xml:space="preserve">"Program not found" with Back to programs</t>
  </si>
  <si>
    <t xml:space="preserve">MTR-09-04</t>
  </si>
  <si>
    <t xml:space="preserve">Real program UUID you don't mentor</t>
  </si>
  <si>
    <t xml:space="preserve">404 (BFF checks /me/mentor-programs)</t>
  </si>
  <si>
    <t xml:space="preserve">MTR-09-05</t>
  </si>
  <si>
    <t xml:space="preserve">"Could not load this program" with Retry</t>
  </si>
  <si>
    <t xml:space="preserve">MTR-09-06</t>
  </si>
  <si>
    <t xml:space="preserve">Uppercase UUID in URL</t>
  </si>
  <si>
    <t xml:space="preserve">Loads</t>
  </si>
  <si>
    <t xml:space="preserve">MTR-09-07</t>
  </si>
  <si>
    <t xml:space="preserve">Completed program (only closed terms)</t>
  </si>
  <si>
    <t xml:space="preserve">Tabs may be empty (only open terms read)</t>
  </si>
  <si>
    <t xml:space="preserve">MTR-10-01</t>
  </si>
  <si>
    <t xml:space="preserve">MTR-10</t>
  </si>
  <si>
    <t xml:space="preserve">Applicants tab</t>
  </si>
  <si>
    <t xml:space="preserve">Program with applicants</t>
  </si>
  <si>
    <t xml:space="preserve">Default pill Pending; pills Pending/Accepted/Declined/All; 10/page with 10/25/50 options</t>
  </si>
  <si>
    <t xml:space="preserve">mentor-applicants-tab/*</t>
  </si>
  <si>
    <t xml:space="preserve">MTR-10-02</t>
  </si>
  <si>
    <t xml:space="preserve">Search name or email</t>
  </si>
  <si>
    <t xml:space="preserve">Case-insensitive; resets to page 1</t>
  </si>
  <si>
    <t xml:space="preserve">MTR-10-03</t>
  </si>
  <si>
    <t xml:space="preserve">Pending application status label</t>
  </si>
  <si>
    <t xml:space="preserve">"Applied" until all prerequisites submitted, then "Tasks Completed"; hold shown as pending</t>
  </si>
  <si>
    <t xml:space="preserve">MTR-10-04</t>
  </si>
  <si>
    <t xml:space="preserve">Withdrawn / graduated</t>
  </si>
  <si>
    <t xml:space="preserve">Only under All; tab count can differ from default view</t>
  </si>
  <si>
    <t xml:space="preserve">MTR-10-05</t>
  </si>
  <si>
    <t xml:space="preserve">View Tasks</t>
  </si>
  <si>
    <t xml:space="preserve">Only when tasks loaded; "No applicants." when empty</t>
  </si>
  <si>
    <t xml:space="preserve">MTR-10-06</t>
  </si>
  <si>
    <t xml:space="preserve">Accept / decline applicants</t>
  </si>
  <si>
    <t xml:space="preserve">No action available for mentors - confirm with product (finding F-13)</t>
  </si>
  <si>
    <t xml:space="preserve">MTR-11-01</t>
  </si>
  <si>
    <t xml:space="preserve">MTR-11</t>
  </si>
  <si>
    <t xml:space="preserve">Current Mentees tab (mentor)</t>
  </si>
  <si>
    <t xml:space="preserve">Accepted mentees exist</t>
  </si>
  <si>
    <t xml:space="preserve">Accepted + graduated rows; progress % of completed non-prerequisite tasks or "-"</t>
  </si>
  <si>
    <t xml:space="preserve">mentor-mentees-tab/*</t>
  </si>
  <si>
    <t xml:space="preserve">MTR-11-02</t>
  </si>
  <si>
    <t xml:space="preserve">Row "+" (accepted only)</t>
  </si>
  <si>
    <t xml:space="preserve">Opens Create Task for that mentee</t>
  </si>
  <si>
    <t xml:space="preserve">MTR-11-03</t>
  </si>
  <si>
    <t xml:space="preserve">Create Group Task</t>
  </si>
  <si>
    <t xml:space="preserve">All accepted mentees pre-selected; disabled when none</t>
  </si>
  <si>
    <t xml:space="preserve">MTR-11-04</t>
  </si>
  <si>
    <t xml:space="preserve">Graduated mentee</t>
  </si>
  <si>
    <t xml:space="preserve">No "+" button; "No current mentees." when empty</t>
  </si>
  <si>
    <t xml:space="preserve">MTR-12-01</t>
  </si>
  <si>
    <t xml:space="preserve">MTR-12</t>
  </si>
  <si>
    <t xml:space="preserve">Create a task (mentor)</t>
  </si>
  <si>
    <t xml:space="preserve">Accepted mentee(s)</t>
  </si>
  <si>
    <t xml:space="preserve">Name (&lt;= 120), description (&lt;= 1000), optional due date, file-required flag &gt; Add Task</t>
  </si>
  <si>
    <t xml:space="preserve">POST /tasks; toast "Task created"; mentee sees task</t>
  </si>
  <si>
    <t xml:space="preserve">components/task-form-dialog/*; services/mentorship-task-create.service.ts; server/helpers/mentorship-task.helper.ts</t>
  </si>
  <si>
    <t xml:space="preserve">MTR-12-02</t>
  </si>
  <si>
    <t xml:space="preserve">Group task with N selected</t>
  </si>
  <si>
    <t xml:space="preserve">Toast "N mentees were given the task."</t>
  </si>
  <si>
    <t xml:space="preserve">MTR-12-03</t>
  </si>
  <si>
    <t xml:space="preserve">Whitespace-only name/description; nobody selected in group</t>
  </si>
  <si>
    <t xml:space="preserve">Add Task disabled</t>
  </si>
  <si>
    <t xml:space="preserve">MTR-12-04</t>
  </si>
  <si>
    <t xml:space="preserve">Due date in the past</t>
  </si>
  <si>
    <t xml:space="preserve">Accepted by UI and BFF (finding F-14)</t>
  </si>
  <si>
    <t xml:space="preserve">MTR-12-05</t>
  </si>
  <si>
    <t xml:space="preserve">Partial failure in group</t>
  </si>
  <si>
    <t xml:space="preserve">Warn toast naming missed mentees; all failed -&gt; error toast</t>
  </si>
  <si>
    <t xml:space="preserve">MTR-12-06</t>
  </si>
  <si>
    <t xml:space="preserve">Single mentee 400 / 403 / 404 / other</t>
  </si>
  <si>
    <t xml:space="preserve">Mapped messages ("This mentee can no longer be given tasks..." etc.)</t>
  </si>
  <si>
    <t xml:space="preserve">MTR-12-07</t>
  </si>
  <si>
    <t xml:space="preserve">&gt; 100 assignees</t>
  </si>
  <si>
    <t xml:space="preserve">Browser batches of 100</t>
  </si>
  <si>
    <t xml:space="preserve">MTR-12-08</t>
  </si>
  <si>
    <t xml:space="preserve">API: non-accepted / graduated / mentor-role applicationId</t>
  </si>
  <si>
    <t xml:space="preserve">MTR-12-09</t>
  </si>
  <si>
    <t xml:space="preserve">API: &gt; 100 ids, non-UUID, dueDate 2026-02-31</t>
  </si>
  <si>
    <t xml:space="preserve">400; client-supplied owner/assignee ignored</t>
  </si>
  <si>
    <t xml:space="preserve">MTR-13-01</t>
  </si>
  <si>
    <t xml:space="preserve">MTR-13</t>
  </si>
  <si>
    <t xml:space="preserve">Edit task and change status from task panel</t>
  </si>
  <si>
    <t xml:space="preserve">Mentor / Admin</t>
  </si>
  <si>
    <t xml:space="preserve">Task exists</t>
  </si>
  <si>
    <t xml:space="preserve">Edit Task (non-prerequisite) &gt; Save</t>
  </si>
  <si>
    <t xml:space="preserve">Only changed fields PATCHed; toast "Task updated"</t>
  </si>
  <si>
    <t xml:space="preserve">components/applicant-tasks-panel/*; services/mentorship-task-update.service.ts</t>
  </si>
  <si>
    <t xml:space="preserve">MTR-13-02</t>
  </si>
  <si>
    <t xml:space="preserve">Inline status dropdown change</t>
  </si>
  <si>
    <t xml:space="preserve">PATCH immediately; no toast; reverts on failure</t>
  </si>
  <si>
    <t xml:space="preserve">MTR-13-03</t>
  </si>
  <si>
    <t xml:space="preserve">Clear due date</t>
  </si>
  <si>
    <t xml:space="preserve">Sends ''</t>
  </si>
  <si>
    <t xml:space="preserve">MTR-13-04</t>
  </si>
  <si>
    <t xml:space="preserve">Hide Prerequisite Tasks</t>
  </si>
  <si>
    <t xml:space="preserve">Filters list; "No tasks to show." when empty</t>
  </si>
  <si>
    <t xml:space="preserve">MTR-13-05</t>
  </si>
  <si>
    <t xml:space="preserve">Move to Submitted without required file</t>
  </si>
  <si>
    <t xml:space="preserve">400 "A task that requires a file can only be submitted once a file has been uploaded for it."</t>
  </si>
  <si>
    <t xml:space="preserve">MTR-13-06</t>
  </si>
  <si>
    <t xml:space="preserve">Dropdown sets Completed or reopens approved / prerequisite task</t>
  </si>
  <si>
    <t xml:space="preserve">Bypasses review check (finding F-15) - confirm upstream rules</t>
  </si>
  <si>
    <t xml:space="preserve">MTR-13-07</t>
  </si>
  <si>
    <t xml:space="preserve">Delete task</t>
  </si>
  <si>
    <t xml:space="preserve">Not available anywhere (finding F-13)</t>
  </si>
  <si>
    <t xml:space="preserve">MTR-14-01</t>
  </si>
  <si>
    <t xml:space="preserve">MTR-14</t>
  </si>
  <si>
    <t xml:space="preserve">Review submitted tasks (Tasks tab)</t>
  </si>
  <si>
    <t xml:space="preserve">Submitted tasks exist</t>
  </si>
  <si>
    <t xml:space="preserve">Open Tasks tab</t>
  </si>
  <si>
    <t xml:space="preserve">Default "Awaiting Review"; pills Approved / All; newest first; relative time</t>
  </si>
  <si>
    <t xml:space="preserve">mentor-tasks-tab/*; services/mentor-task-review.service.ts</t>
  </si>
  <si>
    <t xml:space="preserve">MTR-14-02</t>
  </si>
  <si>
    <t xml:space="preserve">Approve</t>
  </si>
  <si>
    <t xml:space="preserve">PATCH review complete; toast "Task approved"; mentee sees Completed</t>
  </si>
  <si>
    <t xml:space="preserve">MTR-14-03</t>
  </si>
  <si>
    <t xml:space="preserve">Request Changes</t>
  </si>
  <si>
    <t xml:space="preserve">PATCH incomplete; toast "Changes requested"; mentee sees To Do (no comment field)</t>
  </si>
  <si>
    <t xml:space="preserve">MTR-14-04</t>
  </si>
  <si>
    <t xml:space="preserve">Double review</t>
  </si>
  <si>
    <t xml:space="preserve">Buttons disabled until re-read</t>
  </si>
  <si>
    <t xml:space="preserve">MTR-14-05</t>
  </si>
  <si>
    <t xml:space="preserve">409 / 403 / 404</t>
  </si>
  <si>
    <t xml:space="preserve">"no longer awaiting review" / "You can no longer review tasks on this program." / "This task no longer exists."</t>
  </si>
  <si>
    <t xml:space="preserve">MTR-14-06</t>
  </si>
  <si>
    <t xml:space="preserve">API: status other than complete/incomplete; task not submitted</t>
  </si>
  <si>
    <t xml:space="preserve">400 / 409 TASK_NOT_SUBMITTED</t>
  </si>
  <si>
    <t xml:space="preserve">MTR-14-07</t>
  </si>
  <si>
    <t xml:space="preserve">Empty states</t>
  </si>
  <si>
    <t xml:space="preserve">"No tasks awaiting review." / "No approved tasks." / "No tasks to review."</t>
  </si>
  <si>
    <t xml:space="preserve">MTR-15-01</t>
  </si>
  <si>
    <t xml:space="preserve">MTR-15</t>
  </si>
  <si>
    <t xml:space="preserve">Download a submission</t>
  </si>
  <si>
    <t xml:space="preserve">Task has file</t>
  </si>
  <si>
    <t xml:space="preserve">Download Submission</t>
  </si>
  <si>
    <t xml:space="preserve">File saved with server filename (or "submission")</t>
  </si>
  <si>
    <t xml:space="preserve">services/mentorship-task-file.service.ts; server/controllers/mentorship-task.controller.ts</t>
  </si>
  <si>
    <t xml:space="preserve">MTR-15-02</t>
  </si>
  <si>
    <t xml:space="preserve">403 / 404 / 503</t>
  </si>
  <si>
    <t xml:space="preserve">"You do not have access to this file." / "...no longer available..." / "File downloads are unavailable right now..."</t>
  </si>
  <si>
    <t xml:space="preserve">MTR-15-03</t>
  </si>
  <si>
    <t xml:space="preserve">Response headers</t>
  </si>
  <si>
    <t xml:space="preserve">Content-Disposition attachment; X-Content-Type-Options nosniff</t>
  </si>
  <si>
    <t xml:space="preserve">MTR-15-04</t>
  </si>
  <si>
    <t xml:space="preserve">Non-UUID task id</t>
  </si>
  <si>
    <t xml:space="preserve">MTR-15-05</t>
  </si>
  <si>
    <t xml:space="preserve">MTR-16-01</t>
  </si>
  <si>
    <t xml:space="preserve">MTR-16</t>
  </si>
  <si>
    <t xml:space="preserve">Reviewer note (mentor)</t>
  </si>
  <si>
    <t xml:space="preserve">Applicant/mentee row</t>
  </si>
  <si>
    <t xml:space="preserve">Open note &gt; edit (counter /2000) &gt; Save</t>
  </si>
  <si>
    <t xml:space="preserve">Trimmed; PUT; toast "Note saved"; both tabs update</t>
  </si>
  <si>
    <t xml:space="preserve">components/mentee-note-dialog/*; services/mentor-note-save.service.ts</t>
  </si>
  <si>
    <t xml:space="preserve">MTR-16-02</t>
  </si>
  <si>
    <t xml:space="preserve">Clear note</t>
  </si>
  <si>
    <t xml:space="preserve">"Note cleared"</t>
  </si>
  <si>
    <t xml:space="preserve">MTR-16-03</t>
  </si>
  <si>
    <t xml:space="preserve">Unchanged / dismiss</t>
  </si>
  <si>
    <t xml:space="preserve">MTR-16-04</t>
  </si>
  <si>
    <t xml:space="preserve">Mapped messages</t>
  </si>
  <si>
    <t xml:space="preserve">MTR-16-05</t>
  </si>
  <si>
    <t xml:space="preserve">API: &gt; 2000 chars or non-string</t>
  </si>
  <si>
    <t xml:space="preserve">MTE-01-01</t>
  </si>
  <si>
    <t xml:space="preserve">MTE-01</t>
  </si>
  <si>
    <t xml:space="preserve">Register as mentee - happy path and validation</t>
  </si>
  <si>
    <t xml:space="preserve">User without mentee profile</t>
  </si>
  <si>
    <t xml:space="preserve">Flag on</t>
  </si>
  <si>
    <t xml:space="preserve">Fill all required fields &gt; Submit</t>
  </si>
  <si>
    <t xml:space="preserve">POST /mentee/profile 204; toast "Profile created / Your mentee profile has been saved."; lands on /mentee/overview</t>
  </si>
  <si>
    <t xml:space="preserve">mentee/mentee-register/*; server/helpers/mentorship-mentee-register.helper.ts; packages/shared/src/utils/mentorship.utils.ts</t>
  </si>
  <si>
    <t xml:space="preserve">MTE-01-02</t>
  </si>
  <si>
    <t xml:space="preserve">All errors shown; warn toast with first error</t>
  </si>
  <si>
    <t xml:space="preserve">MTE-01-03</t>
  </si>
  <si>
    <t xml:space="preserve">Introduction empty / &gt; 3000 plain chars / raw HTML &gt; 18000</t>
  </si>
  <si>
    <t xml:space="preserve">Required / too long / "too much formatting"</t>
  </si>
  <si>
    <t xml:space="preserve">MTE-01-04</t>
  </si>
  <si>
    <t xml:space="preserve">Skills you have or skills you want empty</t>
  </si>
  <si>
    <t xml:space="preserve">"Add at least one skill..."</t>
  </si>
  <si>
    <t xml:space="preserve">MTE-01-05</t>
  </si>
  <si>
    <t xml:space="preserve">&gt; 100 skills or a skill &gt; 300 chars</t>
  </si>
  <si>
    <t xml:space="preserve">Limit message</t>
  </si>
  <si>
    <t xml:space="preserve">MTE-01-06</t>
  </si>
  <si>
    <t xml:space="preserve">Additional notes &gt; 1000 chars</t>
  </si>
  <si>
    <t xml:space="preserve">Blocked by maxlength</t>
  </si>
  <si>
    <t xml:space="preserve">MTE-01-07</t>
  </si>
  <si>
    <t xml:space="preserve">Country empty or not in list</t>
  </si>
  <si>
    <t xml:space="preserve">"Select a country from the list."</t>
  </si>
  <si>
    <t xml:space="preserve">MTE-01-08</t>
  </si>
  <si>
    <t xml:space="preserve">Any of ageEligible, workAuthorized, noDuplicateProfile, complianceAccepted, termsAccepted unticked</t>
  </si>
  <si>
    <t xml:space="preserve">Specific message per checkbox (e.g. "Please confirm you are 18 years of age or older.")</t>
  </si>
  <si>
    <t xml:space="preserve">MTE-01-09</t>
  </si>
  <si>
    <t xml:space="preserve">Errors before first submit</t>
  </si>
  <si>
    <t xml:space="preserve">Hidden until first submit; after server 400 they clear on next edit</t>
  </si>
  <si>
    <t xml:space="preserve">MTE-01-10</t>
  </si>
  <si>
    <t xml:space="preserve">Skills picker: blank input, case-insensitive duplicate, remove chip, custom skill</t>
  </si>
  <si>
    <t xml:space="preserve">Add disabled for blank; duplicate ignored; chip removed; custom allowed</t>
  </si>
  <si>
    <t xml:space="preserve">MTE-01-11</t>
  </si>
  <si>
    <t xml:space="preserve">Fields and profile card inert</t>
  </si>
  <si>
    <t xml:space="preserve">MTE-01-12</t>
  </si>
  <si>
    <t xml:space="preserve">API: non-boolean flags; unknown demographics key/value; lfxProfile.logoUrl not https</t>
  </si>
  <si>
    <t xml:space="preserve">MTE-01-13</t>
  </si>
  <si>
    <t xml:space="preserve">Cancel</t>
  </si>
  <si>
    <t xml:space="preserve">MTE-02-01</t>
  </si>
  <si>
    <t xml:space="preserve">MTE-02</t>
  </si>
  <si>
    <t xml:space="preserve">Register - demographics consent</t>
  </si>
  <si>
    <t xml:space="preserve">Registering user</t>
  </si>
  <si>
    <t xml:space="preserve">Tick consent for a row; pick answer</t>
  </si>
  <si>
    <t xml:space="preserve">Dropdown enabled; value sent in demographics</t>
  </si>
  <si>
    <t xml:space="preserve">mentee-register/components/mentee-demographics-section</t>
  </si>
  <si>
    <t xml:space="preserve">MTE-02-02</t>
  </si>
  <si>
    <t xml:space="preserve">Untick consent</t>
  </si>
  <si>
    <t xml:space="preserve">Answer cleared and disabled; not sent; each of 5 rows independent</t>
  </si>
  <si>
    <t xml:space="preserve">MTE-02-03</t>
  </si>
  <si>
    <t xml:space="preserve">"I don't want to provide"</t>
  </si>
  <si>
    <t xml:space="preserve">Stored as preferNotToSay</t>
  </si>
  <si>
    <t xml:space="preserve">MTE-02-04</t>
  </si>
  <si>
    <t xml:space="preserve">Removal link</t>
  </si>
  <si>
    <t xml:space="preserve">mailto:privacy@linuxfoundation.org present</t>
  </si>
  <si>
    <t xml:space="preserve">MTE-03-01</t>
  </si>
  <si>
    <t xml:space="preserve">MTE-03</t>
  </si>
  <si>
    <t xml:space="preserve">Register - failure mapping</t>
  </si>
  <si>
    <t xml:space="preserve">Register form valid</t>
  </si>
  <si>
    <t xml:space="preserve">409 MENTEE_PROFILE_EXISTS</t>
  </si>
  <si>
    <t xml:space="preserve">Banner "You already have a mentee profile, so we did not overwrite it." + "Go to my mentee dashboard"</t>
  </si>
  <si>
    <t xml:space="preserve">packages/shared/src/utils/mentorship.utils.ts; server/services/mentorship-mentee.service.ts</t>
  </si>
  <si>
    <t xml:space="preserve">MTE-03-02</t>
  </si>
  <si>
    <t xml:space="preserve">422</t>
  </si>
  <si>
    <t xml:space="preserve">"We could not accept your registration. Please confirm the eligibility statements..."</t>
  </si>
  <si>
    <t xml:space="preserve">MTE-03-03</t>
  </si>
  <si>
    <t xml:space="preserve">Sticky banner "You are viewing as another user, so registration is read-only."</t>
  </si>
  <si>
    <t xml:space="preserve">MTE-03-04</t>
  </si>
  <si>
    <t xml:space="preserve">5xx / network</t>
  </si>
  <si>
    <t xml:space="preserve">"We could not save your registration. Please try again in a moment."</t>
  </si>
  <si>
    <t xml:space="preserve">MTE-03-05</t>
  </si>
  <si>
    <t xml:space="preserve">has-profile check fails for existing mentee</t>
  </si>
  <si>
    <t xml:space="preserve">Form shown; submit gives 409 banner (finding F-21)</t>
  </si>
  <si>
    <t xml:space="preserve">MTE-03-06</t>
  </si>
  <si>
    <t xml:space="preserve">API: crafted email/GitHub in body</t>
  </si>
  <si>
    <t xml:space="preserve">Ignored; resolved server-side</t>
  </si>
  <si>
    <t xml:space="preserve">MTE-04-01</t>
  </si>
  <si>
    <t xml:space="preserve">MTE-04</t>
  </si>
  <si>
    <t xml:space="preserve">Register guard and apply-link round trip</t>
  </si>
  <si>
    <t xml:space="preserve">User from external apply link</t>
  </si>
  <si>
    <t xml:space="preserve">Program term accepting applications</t>
  </si>
  <si>
    <t xml:space="preserve">No profile; open /mentee/apply?programId=A&amp;programTermId=B</t>
  </si>
  <si>
    <t xml:space="preserve">Redirected to /mentee?programId=A&amp;programTermId=B; after register back on apply with checklist hidden and Submit enabled</t>
  </si>
  <si>
    <t xml:space="preserve">app/shared/guards/mentee-*.guard.ts; mentee-apply.component.ts</t>
  </si>
  <si>
    <t xml:space="preserve">MTE-04-02</t>
  </si>
  <si>
    <t xml:space="preserve">Only one id present</t>
  </si>
  <si>
    <t xml:space="preserve">Redirect keeps it; after register goes to overview</t>
  </si>
  <si>
    <t xml:space="preserve">MTE-04-03</t>
  </si>
  <si>
    <t xml:space="preserve">Has profile; open /mentorship/mentee</t>
  </si>
  <si>
    <t xml:space="preserve">Redirect to /mentee/overview (or /apply when both ids present)</t>
  </si>
  <si>
    <t xml:space="preserve">MTE-04-04</t>
  </si>
  <si>
    <t xml:space="preserve">Reload apply page after registering</t>
  </si>
  <si>
    <t xml:space="preserve">Checklist reappears (state cleared)</t>
  </si>
  <si>
    <t xml:space="preserve">MTE-05-01</t>
  </si>
  <si>
    <t xml:space="preserve">MTE-05</t>
  </si>
  <si>
    <t xml:space="preserve">Apply page load states</t>
  </si>
  <si>
    <t xml:space="preserve">Mentee with profile</t>
  </si>
  <si>
    <t xml:space="preserve">Apply link</t>
  </si>
  <si>
    <t xml:space="preserve">Valid ids, term accepting</t>
  </si>
  <si>
    <t xml:space="preserve">"Apply to {program}", "{project} - {term}", profile card, profile details, demographics summary, Before You Apply checklist</t>
  </si>
  <si>
    <t xml:space="preserve">mentee/mentee-apply/*; packages/shared/src/constants/mentorship-mentee.constants.ts</t>
  </si>
  <si>
    <t xml:space="preserve">MTE-05-02</t>
  </si>
  <si>
    <t xml:space="preserve">Ids missing</t>
  </si>
  <si>
    <t xml:space="preserve">"This application link is incomplete"</t>
  </si>
  <si>
    <t xml:space="preserve">MTE-05-03</t>
  </si>
  <si>
    <t xml:space="preserve">apply-target 400/403/404; non-UUID ids</t>
  </si>
  <si>
    <t xml:space="preserve">"This program term could not be found"</t>
  </si>
  <si>
    <t xml:space="preserve">MTE-05-04</t>
  </si>
  <si>
    <t xml:space="preserve">acceptingApplications=false or 422</t>
  </si>
  <si>
    <t xml:space="preserve">"This term is not accepting applications"</t>
  </si>
  <si>
    <t xml:space="preserve">MTE-05-05</t>
  </si>
  <si>
    <t xml:space="preserve">"You already applied to this term"</t>
  </si>
  <si>
    <t xml:space="preserve">MTE-05-06</t>
  </si>
  <si>
    <t xml:space="preserve">5xx</t>
  </si>
  <si>
    <t xml:space="preserve">"Could not load this application" with Retry</t>
  </si>
  <si>
    <t xml:space="preserve">MTE-05-07</t>
  </si>
  <si>
    <t xml:space="preserve">Empty / unknown / preferNotToSay demographics</t>
  </si>
  <si>
    <t xml:space="preserve">"Not provided"</t>
  </si>
  <si>
    <t xml:space="preserve">MTE-06-01</t>
  </si>
  <si>
    <t xml:space="preserve">MTE-06</t>
  </si>
  <si>
    <t xml:space="preserve">Submit application</t>
  </si>
  <si>
    <t xml:space="preserve">Apply page loaded</t>
  </si>
  <si>
    <t xml:space="preserve">Tick all 5 confirmations ("N remaining" -&gt; 0) &gt; Submit</t>
  </si>
  <si>
    <t xml:space="preserve">POST /apply 204; toast "Application submitted"; overview shows new card; admin sees Applied</t>
  </si>
  <si>
    <t xml:space="preserve">mentee-apply.component.ts (onSubmit, showSubmitError)</t>
  </si>
  <si>
    <t xml:space="preserve">MTE-06-02</t>
  </si>
  <si>
    <t xml:space="preserve">Fewer than 5 ticked</t>
  </si>
  <si>
    <t xml:space="preserve">Submit disabled</t>
  </si>
  <si>
    <t xml:space="preserve">MTE-06-03</t>
  </si>
  <si>
    <t xml:space="preserve">422 variants: no profile, reapplication limit, from declined app, already accepted mentorship, already graduated, window not open, window closed, applications not open</t>
  </si>
  <si>
    <t xml:space="preserve">Specific mapped state per message</t>
  </si>
  <si>
    <t xml:space="preserve">MTE-06-04</t>
  </si>
  <si>
    <t xml:space="preserve">"already applied"; cache refreshes</t>
  </si>
  <si>
    <t xml:space="preserve">MTE-06-05</t>
  </si>
  <si>
    <t xml:space="preserve">Error toast with server message; form stays</t>
  </si>
  <si>
    <t xml:space="preserve">MTE-06-06</t>
  </si>
  <si>
    <t xml:space="preserve">500</t>
  </si>
  <si>
    <t xml:space="preserve">Toast "Could not submit the application"; form stays</t>
  </si>
  <si>
    <t xml:space="preserve">MTE-06-07</t>
  </si>
  <si>
    <t xml:space="preserve">One request</t>
  </si>
  <si>
    <t xml:space="preserve">MTE-06-08</t>
  </si>
  <si>
    <t xml:space="preserve">API: POST /apply directly without confirmations</t>
  </si>
  <si>
    <t xml:space="preserve">Accepted - confirmations are client-only (finding F-17)</t>
  </si>
  <si>
    <t xml:space="preserve">MTE-06-09</t>
  </si>
  <si>
    <t xml:space="preserve">Apply to 4th program while 3 pending</t>
  </si>
  <si>
    <t xml:space="preserve">Confirm upstream refuses and which message shows (finding F-18)</t>
  </si>
  <si>
    <t xml:space="preserve">MTE-07-01</t>
  </si>
  <si>
    <t xml:space="preserve">MTE-07</t>
  </si>
  <si>
    <t xml:space="preserve">Edit demographics from apply page</t>
  </si>
  <si>
    <t xml:space="preserve">Edit Demographics &gt; change one &gt; Save</t>
  </si>
  <si>
    <t xml:space="preserve">PATCH /profile with only changed group; toast "Demographics updated"; summary updates</t>
  </si>
  <si>
    <t xml:space="preserve">mentee-apply/components/mentee-demographics-edit-drawer</t>
  </si>
  <si>
    <t xml:space="preserve">MTE-07-02</t>
  </si>
  <si>
    <t xml:space="preserve">No change</t>
  </si>
  <si>
    <t xml:space="preserve">Drawer closes; no request</t>
  </si>
  <si>
    <t xml:space="preserve">MTE-07-03</t>
  </si>
  <si>
    <t xml:space="preserve">Untick stored answer</t>
  </si>
  <si>
    <t xml:space="preserve">preferNotToSay sent</t>
  </si>
  <si>
    <t xml:space="preserve">MTE-07-04</t>
  </si>
  <si>
    <t xml:space="preserve">Focus management</t>
  </si>
  <si>
    <t xml:space="preserve">Focus to drawer title on open; back to trigger on close</t>
  </si>
  <si>
    <t xml:space="preserve">MTE-07-05</t>
  </si>
  <si>
    <t xml:space="preserve">Inline error receives focus</t>
  </si>
  <si>
    <t xml:space="preserve">MTE-08-01</t>
  </si>
  <si>
    <t xml:space="preserve">MTE-08</t>
  </si>
  <si>
    <t xml:space="preserve">Overview tab states</t>
  </si>
  <si>
    <t xml:space="preserve">Profile exists</t>
  </si>
  <si>
    <t xml:space="preserve">Open overview with applications</t>
  </si>
  <si>
    <t xml:space="preserve">Cards ordered Active -&gt; Graduated -&gt; Awaiting Review -&gt; In Progress; progress "x of y"; "Decision expected {date}" on non-accepted</t>
  </si>
  <si>
    <t xml:space="preserve">mentee/mentee-overview/*; packages/shared/src/utils/mentorship.utils.ts</t>
  </si>
  <si>
    <t xml:space="preserve">MTE-08-02</t>
  </si>
  <si>
    <t xml:space="preserve">No applications</t>
  </si>
  <si>
    <t xml:space="preserve">"You haven't applied to a program yet" + Find a Program (new tab); no header button</t>
  </si>
  <si>
    <t xml:space="preserve">MTE-08-03</t>
  </si>
  <si>
    <t xml:space="preserve">Past Applications table</t>
  </si>
  <si>
    <t xml:space="preserve">declined "Not selected", withdrawn "Withdrawn", hold "On Hold"; newest first; UTC dates</t>
  </si>
  <si>
    <t xml:space="preserve">MTE-08-04</t>
  </si>
  <si>
    <t xml:space="preserve">Under review banner</t>
  </si>
  <si>
    <t xml:space="preserve">"N application(s) under review"; at &gt;= 3 pending adds limit text</t>
  </si>
  <si>
    <t xml:space="preserve">MTE-08-05</t>
  </si>
  <si>
    <t xml:space="preserve">Server message or fallback with Retry (refreshes shell)</t>
  </si>
  <si>
    <t xml:space="preserve">MTE-08-06</t>
  </si>
  <si>
    <t xml:space="preserve">"Find a Program" header button</t>
  </si>
  <si>
    <t xml:space="preserve">Only when user has &gt;= 1 application; opens {mentorship}/programs</t>
  </si>
  <si>
    <t xml:space="preserve">MTE-09-01</t>
  </si>
  <si>
    <t xml:space="preserve">MTE-09</t>
  </si>
  <si>
    <t xml:space="preserve">Withdraw an application</t>
  </si>
  <si>
    <t xml:space="preserve">Pending application</t>
  </si>
  <si>
    <t xml:space="preserve">Withdraw (card or history row) &gt; confirm</t>
  </si>
  <si>
    <t xml:space="preserve">POST withdraw 204; toast "Application withdrawn"; lists refresh; admin sees Withdrawn</t>
  </si>
  <si>
    <t xml:space="preserve">services/mentee-application-withdraw.service.ts</t>
  </si>
  <si>
    <t xml:space="preserve">MTE-09-02</t>
  </si>
  <si>
    <t xml:space="preserve">Cancel dialog</t>
  </si>
  <si>
    <t xml:space="preserve">MTE-09-03</t>
  </si>
  <si>
    <t xml:space="preserve">Accepted / graduated app</t>
  </si>
  <si>
    <t xml:space="preserve">No Withdraw button; buttons disabled while one in flight</t>
  </si>
  <si>
    <t xml:space="preserve">MTE-09-04</t>
  </si>
  <si>
    <t xml:space="preserve">403 / 404 / 409</t>
  </si>
  <si>
    <t xml:space="preserve">"You can no longer withdraw..." / "no longer exists" / "no longer pending"; refresh</t>
  </si>
  <si>
    <t xml:space="preserve">MTE-09-05</t>
  </si>
  <si>
    <t xml:space="preserve">Fallback toast; no refresh</t>
  </si>
  <si>
    <t xml:space="preserve">MTE-09-06</t>
  </si>
  <si>
    <t xml:space="preserve">API: another user's applicationId</t>
  </si>
  <si>
    <t xml:space="preserve">Upstream 403; no change</t>
  </si>
  <si>
    <t xml:space="preserve">MTE-09-07</t>
  </si>
  <si>
    <t xml:space="preserve">Non-UUID id / impersonating</t>
  </si>
  <si>
    <t xml:space="preserve">400 / 403 read-only</t>
  </si>
  <si>
    <t xml:space="preserve">MTE-10-01</t>
  </si>
  <si>
    <t xml:space="preserve">MTE-10</t>
  </si>
  <si>
    <t xml:space="preserve">My Tasks list</t>
  </si>
  <si>
    <t xml:space="preserve">Applications with tasks</t>
  </si>
  <si>
    <t xml:space="preserve">Open My Tasks</t>
  </si>
  <si>
    <t xml:space="preserve">Accepted/graduated apps first with "x% - a of b submitted"; chips All / To Do / In Progress / Submitted; then pending apps with Prerequisite Tasks; A-Z</t>
  </si>
  <si>
    <t xml:space="preserve">mentee-application-tasks; mentee-accepted-tasks; mentee-applicant-tasks</t>
  </si>
  <si>
    <t xml:space="preserve">MTE-10-02</t>
  </si>
  <si>
    <t xml:space="preserve">"N open" badge on tab</t>
  </si>
  <si>
    <t xml:space="preserve">Shows open-task count; hidden on read failure</t>
  </si>
  <si>
    <t xml:space="preserve">MTE-10-03</t>
  </si>
  <si>
    <t xml:space="preserve">No tracked apps / app without tasks / filter no match</t>
  </si>
  <si>
    <t xml:space="preserve">"No tasks yet" / "No tasks for this application yet." / "No tasks match the selected filter."</t>
  </si>
  <si>
    <t xml:space="preserve">MTE-10-04</t>
  </si>
  <si>
    <t xml:space="preserve">Withdrawn / declined apps</t>
  </si>
  <si>
    <t xml:space="preserve">Tasks not shown</t>
  </si>
  <si>
    <t xml:space="preserve">MTE-10-05</t>
  </si>
  <si>
    <t xml:space="preserve">Message with Retry</t>
  </si>
  <si>
    <t xml:space="preserve">MTE-10-06</t>
  </si>
  <si>
    <t xml:space="preserve">One application's task read fails</t>
  </si>
  <si>
    <t xml:space="preserve">Whole overview + My Tasks fail (finding F-22)</t>
  </si>
  <si>
    <t xml:space="preserve">MTE-11-01</t>
  </si>
  <si>
    <t xml:space="preserve">MTE-11</t>
  </si>
  <si>
    <t xml:space="preserve">Change task status</t>
  </si>
  <si>
    <t xml:space="preserve">Task assignee (mentee)</t>
  </si>
  <si>
    <t xml:space="preserve">Task assigned</t>
  </si>
  <si>
    <t xml:space="preserve">To Do -&gt; In Progress -&gt; Submitted</t>
  </si>
  <si>
    <t xml:space="preserve">Each PATCH; toast "Task updated"; spinner while saving</t>
  </si>
  <si>
    <t xml:space="preserve">mentee/mentee-task-row/*; server/controllers/mentorship-mentee.controller.ts</t>
  </si>
  <si>
    <t xml:space="preserve">MTE-11-02</t>
  </si>
  <si>
    <t xml:space="preserve">Submitted -&gt; In Progress (reopen, before due)</t>
  </si>
  <si>
    <t xml:space="preserve">Allowed</t>
  </si>
  <si>
    <t xml:space="preserve">MTE-11-03</t>
  </si>
  <si>
    <t xml:space="preserve">Submitted from To Do</t>
  </si>
  <si>
    <t xml:space="preserve">Disabled (sr-only hint "Start the task before submitting it.")</t>
  </si>
  <si>
    <t xml:space="preserve">MTE-11-04</t>
  </si>
  <si>
    <t xml:space="preserve">File-required task without file</t>
  </si>
  <si>
    <t xml:space="preserve">Submitted disabled with visible hint</t>
  </si>
  <si>
    <t xml:space="preserve">MTE-11-05</t>
  </si>
  <si>
    <t xml:space="preserve">In Progress -&gt; To Do</t>
  </si>
  <si>
    <t xml:space="preserve">Never offered</t>
  </si>
  <si>
    <t xml:space="preserve">MTE-11-06</t>
  </si>
  <si>
    <t xml:space="preserve">Reviewer-complete task</t>
  </si>
  <si>
    <t xml:space="preserve">Fully locked "Completed tasks can only be changed by your mentor"</t>
  </si>
  <si>
    <t xml:space="preserve">MTE-11-07</t>
  </si>
  <si>
    <t xml:space="preserve">Status incomplete (changes requested)</t>
  </si>
  <si>
    <t xml:space="preserve">Shown as To Do</t>
  </si>
  <si>
    <t xml:space="preserve">MTE-11-08</t>
  </si>
  <si>
    <t xml:space="preserve">API errors 400 / 403 / 404 / 409</t>
  </si>
  <si>
    <t xml:space="preserve">Mapped toasts; refresh; select reverts on other errors</t>
  </si>
  <si>
    <t xml:space="preserve">MTE-11-09</t>
  </si>
  <si>
    <t xml:space="preserve">API: status complete or pending; another user's task</t>
  </si>
  <si>
    <t xml:space="preserve">400 / upstream 403</t>
  </si>
  <si>
    <t xml:space="preserve">MTE-12-01</t>
  </si>
  <si>
    <t xml:space="preserve">MTE-12</t>
  </si>
  <si>
    <t xml:space="preserve">Task due dates and past-due lock</t>
  </si>
  <si>
    <t xml:space="preserve">Task assignee</t>
  </si>
  <si>
    <t xml:space="preserve">Task with due date</t>
  </si>
  <si>
    <t xml:space="preserve">Date column</t>
  </si>
  <si>
    <t xml:space="preserve">"Due MMM d, yyyy" (UTC) / "Submitted on ..." / "No Due Date"</t>
  </si>
  <si>
    <t xml:space="preserve">packages/shared/src/utils/mentorship.utils.ts; server/services/mentorship-mentee.service.ts (assertTaskNotPastDue)</t>
  </si>
  <si>
    <t xml:space="preserve">MTE-12-02</t>
  </si>
  <si>
    <t xml:space="preserve">Prerequisite with no due_date</t>
  </si>
  <si>
    <t xml:space="preserve">Uses term application_end_date, end of UTC day</t>
  </si>
  <si>
    <t xml:space="preserve">MTE-12-03</t>
  </si>
  <si>
    <t xml:space="preserve">Cutoff boundary: 23:59 UTC vs 00:00 UTC next day; browser in UTC+ and UTC- zones</t>
  </si>
  <si>
    <t xml:space="preserve">Locks exactly at end of due date UTC day</t>
  </si>
  <si>
    <t xml:space="preserve">MTE-12-04</t>
  </si>
  <si>
    <t xml:space="preserve">Past due</t>
  </si>
  <si>
    <t xml:space="preserve">Submit disabled ("The due date has passed..."); submitted task locked; pending can still start; upload/replace/remove disabled</t>
  </si>
  <si>
    <t xml:space="preserve">MTE-12-05</t>
  </si>
  <si>
    <t xml:space="preserve">Page left open across cutoff</t>
  </si>
  <si>
    <t xml:space="preserve">Locks without reload</t>
  </si>
  <si>
    <t xml:space="preserve">MTE-12-06</t>
  </si>
  <si>
    <t xml:space="preserve">API: PATCH submitted / upload / delete after cutoff</t>
  </si>
  <si>
    <t xml:space="preserve">400 TASK_PAST_DUE with mapped toast</t>
  </si>
  <si>
    <t xml:space="preserve">MTE-12-07</t>
  </si>
  <si>
    <t xml:space="preserve">Past-due In Progress task</t>
  </si>
  <si>
    <t xml:space="preserve">Stuck In Progress (finding F-23)</t>
  </si>
  <si>
    <t xml:space="preserve">MTE-13-01</t>
  </si>
  <si>
    <t xml:space="preserve">MTE-13</t>
  </si>
  <si>
    <t xml:space="preserve">Task file upload, replace, remove, download</t>
  </si>
  <si>
    <t xml:space="preserve">File-required task</t>
  </si>
  <si>
    <t xml:space="preserve">Upload .pdf/.doc/.docx/.txt &lt;= 20 MB</t>
  </si>
  <si>
    <t xml:space="preserve">201; toast "File uploaded / ...task marked as submitted"; row Submitted</t>
  </si>
  <si>
    <t xml:space="preserve">services/mentorship-task-file.service.ts; server/routes/mentorship-mentee.route.ts; server/controllers/mentorship-task.controller.ts</t>
  </si>
  <si>
    <t xml:space="preserve">MTE-13-02</t>
  </si>
  <si>
    <t xml:space="preserve">Download / Replace / Remove</t>
  </si>
  <si>
    <t xml:space="preserve">Download with server filename; Replace until complete or past due; Remove only when not submitted, no confirm, toast "File removed"</t>
  </si>
  <si>
    <t xml:space="preserve">MTE-13-03</t>
  </si>
  <si>
    <t xml:space="preserve">Wrong extension / &gt; 20 MB / 0 bytes</t>
  </si>
  <si>
    <t xml:space="preserve">Client message; no request</t>
  </si>
  <si>
    <t xml:space="preserve">MTE-13-04</t>
  </si>
  <si>
    <t xml:space="preserve">.exe renamed to .pdf</t>
  </si>
  <si>
    <t xml:space="preserve">Upstream 415</t>
  </si>
  <si>
    <t xml:space="preserve">MTE-13-05</t>
  </si>
  <si>
    <t xml:space="preserve">Upload on completed task</t>
  </si>
  <si>
    <t xml:space="preserve">409 "This file can no longer change that way"; refresh</t>
  </si>
  <si>
    <t xml:space="preserve">MTE-13-06</t>
  </si>
  <si>
    <t xml:space="preserve">Storage unavailable</t>
  </si>
  <si>
    <t xml:space="preserve">503 "File uploads are unavailable..."</t>
  </si>
  <si>
    <t xml:space="preserve">MTE-13-07</t>
  </si>
  <si>
    <t xml:space="preserve">Remove after submit</t>
  </si>
  <si>
    <t xml:space="preserve">MTE-13-08</t>
  </si>
  <si>
    <t xml:space="preserve">Re-pick same file; filenames with unicode, quotes, /, .., control chars</t>
  </si>
  <si>
    <t xml:space="preserve">Works; names sanitised</t>
  </si>
  <si>
    <t xml:space="preserve">MTE-13-09</t>
  </si>
  <si>
    <t xml:space="preserve">API: missing X-File-Name; Content-Type multipart/form-data; body &gt; 20 MB</t>
  </si>
  <si>
    <t xml:space="preserve">400 / 415 / 413 (not 500)</t>
  </si>
  <si>
    <t xml:space="preserve">MTE-13-10</t>
  </si>
  <si>
    <t xml:space="preserve">Download another user's file</t>
  </si>
  <si>
    <t xml:space="preserve">MTE-13-11</t>
  </si>
  <si>
    <t xml:space="preserve">Download headers</t>
  </si>
  <si>
    <t xml:space="preserve">Content-Disposition attachment; nosniff</t>
  </si>
  <si>
    <t xml:space="preserve">MTE-13-12</t>
  </si>
  <si>
    <t xml:space="preserve">Remove-file non-past-due 400</t>
  </si>
  <si>
    <t xml:space="preserve">Shows upload copy (finding F-24)</t>
  </si>
  <si>
    <t xml:space="preserve">MTE-14-01</t>
  </si>
  <si>
    <t xml:space="preserve">MTE-14</t>
  </si>
  <si>
    <t xml:space="preserve">View mentee profile tab</t>
  </si>
  <si>
    <t xml:space="preserve">Profile card, About Me (sanitised), Skills, Areas to Improve, Additional Notes, Country name</t>
  </si>
  <si>
    <t xml:space="preserve">mentee/mentee-profile/*</t>
  </si>
  <si>
    <t xml:space="preserve">MTE-14-02</t>
  </si>
  <si>
    <t xml:space="preserve">Application History</t>
  </si>
  <si>
    <t xml:space="preserve">graduated -&gt; accepted -&gt; pending -&gt; others; labels In Review, Accepted, Not Selected, Withdrawn, Graduated, On Hold; View opens program page in new tab</t>
  </si>
  <si>
    <t xml:space="preserve">MTE-14-03</t>
  </si>
  <si>
    <t xml:space="preserve">No history / empty fields</t>
  </si>
  <si>
    <t xml:space="preserve">"No application history yet" / empty-state copy</t>
  </si>
  <si>
    <t xml:space="preserve">MTE-14-04</t>
  </si>
  <si>
    <t xml:space="preserve">Load error / 409 duplicate profiles</t>
  </si>
  <si>
    <t xml:space="preserve">"Could not load your mentee profile" with Retry</t>
  </si>
  <si>
    <t xml:space="preserve">MTE-14-05</t>
  </si>
  <si>
    <t xml:space="preserve">Introduction with &lt;script&gt;/onerror saved via API</t>
  </si>
  <si>
    <t xml:space="preserve">MTE-14-06</t>
  </si>
  <si>
    <t xml:space="preserve">Label consistency between Overview and History</t>
  </si>
  <si>
    <t xml:space="preserve">Declined "Not selected" red vs "Not Selected" gray; pending "In Review" vs "Awaiting Review" (finding F-20)</t>
  </si>
  <si>
    <t xml:space="preserve">MTE-15-01</t>
  </si>
  <si>
    <t xml:space="preserve">MTE-15</t>
  </si>
  <si>
    <t xml:space="preserve">Edit mentee profile (drawer)</t>
  </si>
  <si>
    <t xml:space="preserve">Edit skills, notes, country, introduction &gt; Save</t>
  </si>
  <si>
    <t xml:space="preserve">PATCH only changed groups; toast "Profile updated"; page updates</t>
  </si>
  <si>
    <t xml:space="preserve">mentee-profile/components/mentee-profile-edit-drawer; server/helpers/mentorship-mentee-profile-update.helper.ts</t>
  </si>
  <si>
    <t xml:space="preserve">MTE-15-02</t>
  </si>
  <si>
    <t xml:space="preserve">No change / untouched intro</t>
  </si>
  <si>
    <t xml:space="preserve">No request / intro not re-validated or sent</t>
  </si>
  <si>
    <t xml:space="preserve">MTE-15-03</t>
  </si>
  <si>
    <t xml:space="preserve">Skills empty / &gt; 100 / &gt; 300 chars; notes &gt; 1000; country empty or unknown; intro cleared</t>
  </si>
  <si>
    <t xml:space="preserve">Validation errors</t>
  </si>
  <si>
    <t xml:space="preserve">MTE-15-04</t>
  </si>
  <si>
    <t xml:space="preserve">Legacy profile without country</t>
  </si>
  <si>
    <t xml:space="preserve">Must pick one on next save</t>
  </si>
  <si>
    <t xml:space="preserve">MTE-15-05</t>
  </si>
  <si>
    <t xml:space="preserve">Server 400 / 404 / 409 / impersonating</t>
  </si>
  <si>
    <t xml:space="preserve">Mapped messages; drawer stays open; focus on error</t>
  </si>
  <si>
    <t xml:space="preserve">MTE-15-06</t>
  </si>
  <si>
    <t xml:space="preserve">API: unknown key, profile_links, null, {}, blank skill</t>
  </si>
  <si>
    <t xml:space="preserve">MTE-15-07</t>
  </si>
  <si>
    <t xml:space="preserve">API: demographics value &lt;= 100 chars not in option list</t>
  </si>
  <si>
    <t xml:space="preserve">Accepted on PATCH but rejected on register (finding F-25)</t>
  </si>
  <si>
    <t xml:space="preserve">MTE-16-01</t>
  </si>
  <si>
    <t xml:space="preserve">MTE-16</t>
  </si>
  <si>
    <t xml:space="preserve">LFX profile card</t>
  </si>
  <si>
    <t xml:space="preserve">Mentee / Mentor</t>
  </si>
  <si>
    <t xml:space="preserve">Register, apply or profile page</t>
  </si>
  <si>
    <t xml:space="preserve">Card shows name, emails, linked accounts; Edit LFX Profile &gt; save</t>
  </si>
  <si>
    <t xml:space="preserve">Profile drawer saves; also PATCH /me/lfx-profile; failure shows warn toast</t>
  </si>
  <si>
    <t xml:space="preserve">components/profile-card/profile-card.component.ts</t>
  </si>
  <si>
    <t xml:space="preserve">MTE-16-02</t>
  </si>
  <si>
    <t xml:space="preserve">One of 3 profile fetches fails / main fetch fails</t>
  </si>
  <si>
    <t xml:space="preserve">Placeholders / Edit disabled with tooltip</t>
  </si>
  <si>
    <t xml:space="preserve">MTE-16-03</t>
  </si>
  <si>
    <t xml:space="preserve">Connect GitHub or LinkedIn</t>
  </si>
  <si>
    <t xml:space="preserve">OAuth round trip; ?success=identity_linked or ?error=... toasted once; params stripped</t>
  </si>
  <si>
    <t xml:space="preserve">MTE-16-04</t>
  </si>
  <si>
    <t xml:space="preserve">Connect disabled; no sync call</t>
  </si>
  <si>
    <t xml:space="preserve">MTE-16-05</t>
  </si>
  <si>
    <t xml:space="preserve">API: firstName/lastName &gt; 100; logoUrl not https or &gt; 2048</t>
  </si>
  <si>
    <t xml:space="preserve">MTE-17-01</t>
  </si>
  <si>
    <t xml:space="preserve">MTE-17</t>
  </si>
  <si>
    <t xml:space="preserve">Mentee shell, tabs and cache</t>
  </si>
  <si>
    <t xml:space="preserve">Tabs Overview / My Tasks / Mentee Profile; arrow/Home/End keys</t>
  </si>
  <si>
    <t xml:space="preserve">Navigation works</t>
  </si>
  <si>
    <t xml:space="preserve">mentee/mentee-page; app/shared/services/mentorship-mentee.service.ts</t>
  </si>
  <si>
    <t xml:space="preserve">MTE-17-02</t>
  </si>
  <si>
    <t xml:space="preserve">Unknown child route /mentorship/mentee/xyz</t>
  </si>
  <si>
    <t xml:space="preserve">Redirect to overview</t>
  </si>
  <si>
    <t xml:space="preserve">MTE-17-03</t>
  </si>
  <si>
    <t xml:space="preserve">Switch tabs</t>
  </si>
  <si>
    <t xml:space="preserve">Cached applications reused; mentor-side changes not visible until write, Retry or reload</t>
  </si>
  <si>
    <t xml:space="preserve">MTE-17-04</t>
  </si>
  <si>
    <t xml:space="preserve">After any apply/withdraw/status/file write</t>
  </si>
  <si>
    <t xml:space="preserve">Overview, Tasks, badge, history refresh</t>
  </si>
  <si>
    <t xml:space="preserve">MTE-17-05</t>
  </si>
  <si>
    <t xml:space="preserve">No profile; open /mentee/profile and click Edit</t>
  </si>
  <si>
    <t xml:space="preserve">No guard; PATCH 404 "We could not find your mentee profile" (finding F-16)</t>
  </si>
  <si>
    <t xml:space="preserve">PR-01-01</t>
  </si>
  <si>
    <t xml:space="preserve">PR-01</t>
  </si>
  <si>
    <t xml:space="preserve">Approve a program</t>
  </si>
  <si>
    <t xml:space="preserve">Approver team member</t>
  </si>
  <si>
    <t xml:space="preserve">Program pending; email review link</t>
  </si>
  <si>
    <t xml:space="preserve">Open /mentorship/program-review/&lt;id&gt;?decision=approve &gt; Confirm</t>
  </si>
  <si>
    <t xml:space="preserve">"Approve this program?" with name; one POST {decision:'approve'}; "Program approved"; upstream status published; program visible to mentors/mentees</t>
  </si>
  <si>
    <t xml:space="preserve">app/modules/mentorship/program-review/program-review.component.ts; server/services/mentorship.service.ts</t>
  </si>
  <si>
    <t xml:space="preserve">PR-01-02</t>
  </si>
  <si>
    <t xml:space="preserve">Open link only</t>
  </si>
  <si>
    <t xml:space="preserve">Only GET; no POST (mail-scanner safe)</t>
  </si>
  <si>
    <t xml:space="preserve">PR-01-03</t>
  </si>
  <si>
    <t xml:space="preserve">Double-click Confirm</t>
  </si>
  <si>
    <t xml:space="preserve">Exactly one POST</t>
  </si>
  <si>
    <t xml:space="preserve">PR-01-04</t>
  </si>
  <si>
    <t xml:space="preserve">Goes to /mentorship/admin; nothing recorded</t>
  </si>
  <si>
    <t xml:space="preserve">PR-01-05</t>
  </si>
  <si>
    <t xml:space="preserve">Admin list after approval</t>
  </si>
  <si>
    <t xml:space="preserve">Card status changes Pending Review -&gt; Open</t>
  </si>
  <si>
    <t xml:space="preserve">PR-02-01</t>
  </si>
  <si>
    <t xml:space="preserve">PR-02</t>
  </si>
  <si>
    <t xml:space="preserve">Reject a program</t>
  </si>
  <si>
    <t xml:space="preserve">Program pending</t>
  </si>
  <si>
    <t xml:space="preserve">?decision=reject &gt; Confirm</t>
  </si>
  <si>
    <t xml:space="preserve">Red "Reject" button; "Program rejected"; upstream status rejected; admin sees Rejected</t>
  </si>
  <si>
    <t xml:space="preserve">program-review.component.ts</t>
  </si>
  <si>
    <t xml:space="preserve">PR-03-01</t>
  </si>
  <si>
    <t xml:space="preserve">PR-03</t>
  </si>
  <si>
    <t xml:space="preserve">Invalid review link</t>
  </si>
  <si>
    <t xml:space="preserve">-</t>
  </si>
  <si>
    <t xml:space="preserve">No decision / decision=publish / decision=APPROVE / empty</t>
  </si>
  <si>
    <t xml:space="preserve">"This review link is not valid"; no API call</t>
  </si>
  <si>
    <t xml:space="preserve">program-review.component.ts; server/controllers/mentorship.controller.ts (parseReviewProgramId)</t>
  </si>
  <si>
    <t xml:space="preserve">PR-03-02</t>
  </si>
  <si>
    <t xml:space="preserve">programId slug, non-UUID, whitespace-padded</t>
  </si>
  <si>
    <t xml:space="preserve">Invalid-link on client; direct BFF call 400 {errors:{programId}}</t>
  </si>
  <si>
    <t xml:space="preserve">PR-03-03</t>
  </si>
  <si>
    <t xml:space="preserve">API: body {decision:'published'}, {}, missing, numeric</t>
  </si>
  <si>
    <t xml:space="preserve">400 "decision must be one of: approve, reject"; nothing upstream</t>
  </si>
  <si>
    <t xml:space="preserve">PR-04-01</t>
  </si>
  <si>
    <t xml:space="preserve">PR-04</t>
  </si>
  <si>
    <t xml:space="preserve">Already decided program</t>
  </si>
  <si>
    <t xml:space="preserve">Approver</t>
  </si>
  <si>
    <t xml:space="preserve">Program not pending</t>
  </si>
  <si>
    <t xml:space="preserve">Link to published / rejected / hidden program</t>
  </si>
  <si>
    <t xml:space="preserve">"This program has already been reviewed" with current status</t>
  </si>
  <si>
    <t xml:space="preserve">PR-04-02</t>
  </si>
  <si>
    <t xml:space="preserve">Two approvers race</t>
  </si>
  <si>
    <t xml:space="preserve">Second Confirm 409 "Another reviewer decided this program before you confirmed."</t>
  </si>
  <si>
    <t xml:space="preserve">PR-04-03</t>
  </si>
  <si>
    <t xml:space="preserve">Approve then reload link</t>
  </si>
  <si>
    <t xml:space="preserve">Already-decided with Approved</t>
  </si>
  <si>
    <t xml:space="preserve">PR-05-01</t>
  </si>
  <si>
    <t xml:space="preserve">PR-05</t>
  </si>
  <si>
    <t xml:space="preserve">Non-approver access</t>
  </si>
  <si>
    <t xml:space="preserve">Signed-in non-approver</t>
  </si>
  <si>
    <t xml:space="preserve">Non-approver opens link</t>
  </si>
  <si>
    <t xml:space="preserve">403 "You don't have permission to review programs"; no confirm card</t>
  </si>
  <si>
    <t xml:space="preserve">PR-05-02</t>
  </si>
  <si>
    <t xml:space="preserve">Program's own admin (not approver) opens link and Confirms</t>
  </si>
  <si>
    <t xml:space="preserve">Confirm card may show; POST 403; status unchanged</t>
  </si>
  <si>
    <t xml:space="preserve">PR-06-01</t>
  </si>
  <si>
    <t xml:space="preserve">PR-06</t>
  </si>
  <si>
    <t xml:space="preserve">Program not found</t>
  </si>
  <si>
    <t xml:space="preserve">Valid UUID for missing/deleted program</t>
  </si>
  <si>
    <t xml:space="preserve">"Program not found"</t>
  </si>
  <si>
    <t xml:space="preserve">PR-07-01</t>
  </si>
  <si>
    <t xml:space="preserve">PR-07</t>
  </si>
  <si>
    <t xml:space="preserve">Failure and retry</t>
  </si>
  <si>
    <t xml:space="preserve">Upstream 500/502/503 or timeout on Confirm</t>
  </si>
  <si>
    <t xml:space="preserve">"Something went wrong - The decision was not recorded" + Try again (back to confirm, no reload)</t>
  </si>
  <si>
    <t xml:space="preserve">PR-07-02</t>
  </si>
  <si>
    <t xml:space="preserve">Same failure on load</t>
  </si>
  <si>
    <t xml:space="preserve">"We couldn't load this program. Please refresh"</t>
  </si>
  <si>
    <t xml:space="preserve">PR-07-03</t>
  </si>
  <si>
    <t xml:space="preserve">408 timeout then retry</t>
  </si>
  <si>
    <t xml:space="preserve">UI says not recorded; check real upstream state; retry may 409 (finding F-28)</t>
  </si>
  <si>
    <t xml:space="preserve">PR-07-04</t>
  </si>
  <si>
    <t xml:space="preserve">URL decision/programId changes while Confirm in flight</t>
  </si>
  <si>
    <t xml:space="preserve">Waits for write, then reloads with real status</t>
  </si>
  <si>
    <t xml:space="preserve">PR-08-01</t>
  </si>
  <si>
    <t xml:space="preserve">PR-08</t>
  </si>
  <si>
    <t xml:space="preserve">Review page - impersonation, session, flag, CSRF</t>
  </si>
  <si>
    <t xml:space="preserve">Impersonating: GET then Confirm</t>
  </si>
  <si>
    <t xml:space="preserve">GET works; POST 403 IMPERSONATION_READ_ONLY; UI shows generic forbidden copy (finding F-29)</t>
  </si>
  <si>
    <t xml:space="preserve">server/routes/mentorship.route.ts; server/middleware/auth.middleware.ts</t>
  </si>
  <si>
    <t xml:space="preserve">PR-08-02</t>
  </si>
  <si>
    <t xml:space="preserve">Anonymous user opens link</t>
  </si>
  <si>
    <t xml:space="preserve">Auth0 login; returnTo keeps ?decision</t>
  </si>
  <si>
    <t xml:space="preserve">PR-08-03</t>
  </si>
  <si>
    <t xml:space="preserve">Session expires on open page and refresh fails</t>
  </si>
  <si>
    <t xml:space="preserve">API 401; generic error state</t>
  </si>
  <si>
    <t xml:space="preserve">PR-08-04</t>
  </si>
  <si>
    <t xml:space="preserve">First-time approver with no local mentorship record</t>
  </si>
  <si>
    <t xml:space="preserve">Possible 401 "not provisioned" -&gt; generic error (review bypasses PUT /me retry; finding F-27)</t>
  </si>
  <si>
    <t xml:space="preserve">PR-08-05</t>
  </si>
  <si>
    <t xml:space="preserve">Flag OFF</t>
  </si>
  <si>
    <t xml:space="preserve">Link redirects to /</t>
  </si>
  <si>
    <t xml:space="preserve">PR-08-06</t>
  </si>
  <si>
    <t xml:space="preserve">Cross-site form POST to /program-review/:id/decision</t>
  </si>
  <si>
    <t xml:space="preserve">No session cookie sent (SameSite=Lax) -&gt; 401; no CSRF token exists</t>
  </si>
  <si>
    <t xml:space="preserve">BFF-01-01</t>
  </si>
  <si>
    <t xml:space="preserve">BFF-01</t>
  </si>
  <si>
    <t xml:space="preserve">Authentication on all /api/mentorship/* endpoints</t>
  </si>
  <si>
    <t xml:space="preserve">API client</t>
  </si>
  <si>
    <t xml:space="preserve">No cookie / no session</t>
  </si>
  <si>
    <t xml:space="preserve">server/server.ts; server/middleware/auth.middleware.ts</t>
  </si>
  <si>
    <t xml:space="preserve">BFF-01-02</t>
  </si>
  <si>
    <t xml:space="preserve">Expired access token with valid refresh token</t>
  </si>
  <si>
    <t xml:space="preserve">Silent refresh; 200</t>
  </si>
  <si>
    <t xml:space="preserve">BFF-01-03</t>
  </si>
  <si>
    <t xml:space="preserve">Expired token and refresh fails</t>
  </si>
  <si>
    <t xml:space="preserve">401 for API; SSR GET logs user out</t>
  </si>
  <si>
    <t xml:space="preserve">BFF-01-04</t>
  </si>
  <si>
    <t xml:space="preserve">Tampered appSession cookie</t>
  </si>
  <si>
    <t xml:space="preserve">401</t>
  </si>
  <si>
    <t xml:space="preserve">BFF-02-01</t>
  </si>
  <si>
    <t xml:space="preserve">BFF-02</t>
  </si>
  <si>
    <t xml:space="preserve">Role enforcement (upstream)</t>
  </si>
  <si>
    <t xml:space="preserve">Users with wrong role</t>
  </si>
  <si>
    <t xml:space="preserve">Test users: admin, mentor, mentee, approver, no-role</t>
  </si>
  <si>
    <t xml:space="preserve">Run every endpoint in Endpoints sheet as a user without the required role</t>
  </si>
  <si>
    <t xml:space="preserve">Upstream 403/404 passed through unchanged; no data leaked; no state change</t>
  </si>
  <si>
    <t xml:space="preserve">All mentorship*.route.ts (see Endpoints sheet)</t>
  </si>
  <si>
    <t xml:space="preserve">BFF-02-02</t>
  </si>
  <si>
    <t xml:space="preserve">Non-admin GET /admin/programs/&lt;other UUID&gt;</t>
  </si>
  <si>
    <t xml:space="preserve">403 or 404</t>
  </si>
  <si>
    <t xml:space="preserve">BFF-02-03</t>
  </si>
  <si>
    <t xml:space="preserve">Mentor endpoint for program not mentored</t>
  </si>
  <si>
    <t xml:space="preserve">404</t>
  </si>
  <si>
    <t xml:space="preserve">BFF-03-01</t>
  </si>
  <si>
    <t xml:space="preserve">BFF-03</t>
  </si>
  <si>
    <t xml:space="preserve">IDOR - access other users' records by id</t>
  </si>
  <si>
    <t xml:space="preserve">Two users of same role</t>
  </si>
  <si>
    <t xml:space="preserve">Two mentees, two mentors, admins of two programs</t>
  </si>
  <si>
    <t xml:space="preserve">Mentee A uses mentee B's applicationId on withdraw</t>
  </si>
  <si>
    <t xml:space="preserve">403/404; no change</t>
  </si>
  <si>
    <t xml:space="preserve">server/services/*mentorship*</t>
  </si>
  <si>
    <t xml:space="preserve">BFF-03-02</t>
  </si>
  <si>
    <t xml:space="preserve">Mentee A uses B's taskId on PATCH status / file upload / file delete / file download</t>
  </si>
  <si>
    <t xml:space="preserve">BFF-03-03</t>
  </si>
  <si>
    <t xml:space="preserve">Mentor X uses Y's requestId or invitationId</t>
  </si>
  <si>
    <t xml:space="preserve">BFF-03-04</t>
  </si>
  <si>
    <t xml:space="preserve">Admin of P1 calls /admin/programs/P1/terms/&lt;term of P2&gt; or /mentors/&lt;member of P2&gt;</t>
  </si>
  <si>
    <t xml:space="preserve">Must be rejected by upstream (BFF only checks UUID) - finding F-30</t>
  </si>
  <si>
    <t xml:space="preserve">BFF-03-05</t>
  </si>
  <si>
    <t xml:space="preserve">PATCH /me/lfx-profile with another user's email in body</t>
  </si>
  <si>
    <t xml:space="preserve">Email ignored; only caller's rows patched</t>
  </si>
  <si>
    <t xml:space="preserve">BFF-04-01</t>
  </si>
  <si>
    <t xml:space="preserve">BFF-04</t>
  </si>
  <si>
    <t xml:space="preserve">Path id and query validation</t>
  </si>
  <si>
    <t xml:space="preserve">Non-UUID, slug, .., %2e%2e, backslash, ? in any :id</t>
  </si>
  <si>
    <t xml:space="preserve">400; no upstream call</t>
  </si>
  <si>
    <t xml:space="preserve">server/helpers/mentorship-api.helper.ts; server/services/microservice-proxy.service.ts</t>
  </si>
  <si>
    <t xml:space="preserve">BFF-04-02</t>
  </si>
  <si>
    <t xml:space="preserve">Non-numeric or zero CII projectId</t>
  </si>
  <si>
    <t xml:space="preserve">BFF-04-03</t>
  </si>
  <si>
    <t xml:space="preserve">offset/limit blank, repeated, non-integer, out of range; repeated search/status</t>
  </si>
  <si>
    <t xml:space="preserve">BFF-05-01</t>
  </si>
  <si>
    <t xml:space="preserve">BFF-05</t>
  </si>
  <si>
    <t xml:space="preserve">Malformed body</t>
  </si>
  <si>
    <t xml:space="preserve">Invalid JSON</t>
  </si>
  <si>
    <t xml:space="preserve">400 {errors:{body:'body must contain valid JSON'}}; submitted text not echoed</t>
  </si>
  <si>
    <t xml:space="preserve">server/middleware/error-handler.middleware.ts</t>
  </si>
  <si>
    <t xml:space="preserve">BFF-05-02</t>
  </si>
  <si>
    <t xml:space="preserve">Wrong enum values (review status, mentee task status, decision)</t>
  </si>
  <si>
    <t xml:space="preserve">BFF-06-01</t>
  </si>
  <si>
    <t xml:space="preserve">BFF-06</t>
  </si>
  <si>
    <t xml:space="preserve">Oversize payloads</t>
  </si>
  <si>
    <t xml:space="preserve">Logo &gt; 2 MB / exactly 2 MB</t>
  </si>
  <si>
    <t xml:space="preserve">413 PAYLOAD_TOO_LARGE / accepted</t>
  </si>
  <si>
    <t xml:space="preserve">server/routes/mentorship-admin.route.ts; mentorship-mentee.route.ts</t>
  </si>
  <si>
    <t xml:space="preserve">BFF-06-02</t>
  </si>
  <si>
    <t xml:space="preserve">Logo Content-Type not image/png or image/jpeg</t>
  </si>
  <si>
    <t xml:space="preserve">415</t>
  </si>
  <si>
    <t xml:space="preserve">BFF-06-03</t>
  </si>
  <si>
    <t xml:space="preserve">Mentee file &gt; 20 MB</t>
  </si>
  <si>
    <t xml:space="preserve">413</t>
  </si>
  <si>
    <t xml:space="preserve">BFF-06-04</t>
  </si>
  <si>
    <t xml:space="preserve">JSON body &gt; 15 MB on any other endpoint</t>
  </si>
  <si>
    <t xml:space="preserve">Expected 413; code likely returns 500 (finding F-31)</t>
  </si>
  <si>
    <t xml:space="preserve">BFF-07-01</t>
  </si>
  <si>
    <t xml:space="preserve">BFF-07</t>
  </si>
  <si>
    <t xml:space="preserve">Upstream error mapping</t>
  </si>
  <si>
    <t xml:space="preserve">Ability to stub/kill upstream (or observe in dev)</t>
  </si>
  <si>
    <t xml:space="preserve">Upstream 400/403/404/409/422</t>
  </si>
  <si>
    <t xml:space="preserve">Same status with upstreamCode</t>
  </si>
  <si>
    <t xml:space="preserve">server/middleware/error-handler.middleware.ts; server/services/api-client.service.ts</t>
  </si>
  <si>
    <t xml:space="preserve">BFF-07-02</t>
  </si>
  <si>
    <t xml:space="preserve">Upstream 500/502/503</t>
  </si>
  <si>
    <t xml:space="preserve">Same status; logged at error level</t>
  </si>
  <si>
    <t xml:space="preserve">BFF-07-03</t>
  </si>
  <si>
    <t xml:space="preserve">Upstream non-JSON error body</t>
  </si>
  <si>
    <t xml:space="preserve">Status text as error</t>
  </si>
  <si>
    <t xml:space="preserve">BFF-07-04</t>
  </si>
  <si>
    <t xml:space="preserve">Upstream timeout &gt; 30 s</t>
  </si>
  <si>
    <t xml:space="preserve">408 {code:'TIMEOUT', transport:true}</t>
  </si>
  <si>
    <t xml:space="preserve">BFF-07-05</t>
  </si>
  <si>
    <t xml:space="preserve">Connection refused / DNS failure</t>
  </si>
  <si>
    <t xml:space="preserve">503 {transport:true}</t>
  </si>
  <si>
    <t xml:space="preserve">BFF-07-06</t>
  </si>
  <si>
    <t xml:space="preserve">CII unreachable / 404 / bad response</t>
  </si>
  <si>
    <t xml:space="preserve">502 UPSTREAM_UNREACHABLE / 404 / 502 BAD_GATEWAY</t>
  </si>
  <si>
    <t xml:space="preserve">BFF-07-07</t>
  </si>
  <si>
    <t xml:space="preserve">Any error body</t>
  </si>
  <si>
    <t xml:space="preserve">No upstream host/URL leaked (path = req.path)</t>
  </si>
  <si>
    <t xml:space="preserve">BFF-08-01</t>
  </si>
  <si>
    <t xml:space="preserve">BFF-08</t>
  </si>
  <si>
    <t xml:space="preserve">First-call user provisioning</t>
  </si>
  <si>
    <t xml:space="preserve">Brand-new user</t>
  </si>
  <si>
    <t xml:space="preserve">User never used mentorship</t>
  </si>
  <si>
    <t xml:space="preserve">First call (e.g. GET /mentee/has-profile)</t>
  </si>
  <si>
    <t xml:space="preserve">Upstream 401 "not provisioned" -&gt; PUT /me -&gt; retry once -&gt; 200</t>
  </si>
  <si>
    <t xml:space="preserve">server/helpers/mentorship-api.helper.ts (proxyMentorshipRequest)</t>
  </si>
  <si>
    <t xml:space="preserve">BFF-08-02</t>
  </si>
  <si>
    <t xml:space="preserve">Second "not provisioned" 401 or failed PUT /me</t>
  </si>
  <si>
    <t xml:space="preserve">Passed through</t>
  </si>
  <si>
    <t xml:space="preserve">BFF-08-03</t>
  </si>
  <si>
    <t xml:space="preserve">Not provisioned; 401</t>
  </si>
  <si>
    <t xml:space="preserve">BFF-09-01</t>
  </si>
  <si>
    <t xml:space="preserve">BFF-09</t>
  </si>
  <si>
    <t xml:space="preserve">Impersonation read-only</t>
  </si>
  <si>
    <t xml:space="preserve">Support user impersonating</t>
  </si>
  <si>
    <t xml:space="preserve">Impersonation session active</t>
  </si>
  <si>
    <t xml:space="preserve">Every write endpoint (W in Endpoints sheet)</t>
  </si>
  <si>
    <t xml:space="preserve">403 IMPERSONATION_READ_ONLY; warning log with impersonator + target</t>
  </si>
  <si>
    <t xml:space="preserve">server/middleware/impersonation-readonly.middleware.ts</t>
  </si>
  <si>
    <t xml:space="preserve">BFF-09-02</t>
  </si>
  <si>
    <t xml:space="preserve">All GETs, POST mentor-candidates, CSV export, file download</t>
  </si>
  <si>
    <t xml:space="preserve">Work using target's token</t>
  </si>
  <si>
    <t xml:space="preserve">BFF-09-03</t>
  </si>
  <si>
    <t xml:space="preserve">Expired impersonation session</t>
  </si>
  <si>
    <t xml:space="preserve">Cleared; user's own token used</t>
  </si>
  <si>
    <t xml:space="preserve">BFF-10-01</t>
  </si>
  <si>
    <t xml:space="preserve">BFF-10</t>
  </si>
  <si>
    <t xml:space="preserve">Feature flag behaviour</t>
  </si>
  <si>
    <t xml:space="preserve">Any user</t>
  </si>
  <si>
    <t xml:space="preserve">UI routes redirect to /; sidebar section hidden</t>
  </si>
  <si>
    <t xml:space="preserve">packages/shared/src/constants/feature-flags.constants.ts</t>
  </si>
  <si>
    <t xml:space="preserve">BFF-10-02</t>
  </si>
  <si>
    <t xml:space="preserve">Flag OFF; direct API calls</t>
  </si>
  <si>
    <t xml:space="preserve">Still answered (UI-only); no server kill switch - confirm acceptable (finding F-32)</t>
  </si>
  <si>
    <t xml:space="preserve">BFF-11-01</t>
  </si>
  <si>
    <t xml:space="preserve">BFF-11</t>
  </si>
  <si>
    <t xml:space="preserve">Log redaction</t>
  </si>
  <si>
    <t xml:space="preserve">QA with log access</t>
  </si>
  <si>
    <t xml:space="preserve">Access to BFF logs in dev</t>
  </si>
  <si>
    <t xml:space="preserve">Inspect logs after exercising flows</t>
  </si>
  <si>
    <t xml:space="preserve">No bearer token, cookie, invite token, name/email search queries, task/note text, profile values</t>
  </si>
  <si>
    <t xml:space="preserve">server logger config; redactLoggedUrl; withoutQueryInErrorPath</t>
  </si>
  <si>
    <t xml:space="preserve">BFF-12-01</t>
  </si>
  <si>
    <t xml:space="preserve">BFF-12</t>
  </si>
  <si>
    <t xml:space="preserve">Rate limiting</t>
  </si>
  <si>
    <t xml:space="preserve">501st request within 1 minute from one IP</t>
  </si>
  <si>
    <t xml:space="preserve">429 JSON RATE_LIMITED with RateLimit-* headers</t>
  </si>
  <si>
    <t xml:space="preserve">server/server.ts (apiRateLimiter)</t>
  </si>
  <si>
    <t xml:space="preserve">BFF-13-01</t>
  </si>
  <si>
    <t xml:space="preserve">BFF-13</t>
  </si>
  <si>
    <t xml:space="preserve">Downloads</t>
  </si>
  <si>
    <t xml:space="preserve">Task with file; program with mentees</t>
  </si>
  <si>
    <t xml:space="preserve">Task file with Range header</t>
  </si>
  <si>
    <t xml:space="preserve">206; invalid Range ignored, full file sent</t>
  </si>
  <si>
    <t xml:space="preserve">server/controllers/mentorship-task.controller.ts; mentorship-admin.controller.ts</t>
  </si>
  <si>
    <t xml:space="preserve">BFF-13-02</t>
  </si>
  <si>
    <t xml:space="preserve">Upstream 416 / 503</t>
  </si>
  <si>
    <t xml:space="preserve">BFF-13-03</t>
  </si>
  <si>
    <t xml:space="preserve">CSV export none / over cap</t>
  </si>
  <si>
    <t xml:space="preserve">204 / X-Export-Truncated; Cache-Control private, no-store</t>
  </si>
  <si>
    <t xml:space="preserve">ID</t>
  </si>
  <si>
    <t xml:space="preserve">Description</t>
  </si>
  <si>
    <t xml:space="preserve">Code Ref</t>
  </si>
  <si>
    <t xml:space="preserve">Suggested Action</t>
  </si>
  <si>
    <t xml:space="preserve">Owner</t>
  </si>
  <si>
    <t xml:space="preserve">Jira</t>
  </si>
  <si>
    <t xml:space="preserve">Resolution</t>
  </si>
  <si>
    <t xml:space="preserve">F-01</t>
  </si>
  <si>
    <t xml:space="preserve">Possible bug</t>
  </si>
  <si>
    <t xml:space="preserve">BFF term routes allow applicationEnd == applicationStart (single-day window); UI requires end &gt; start. Single-day window only creatable via API.</t>
  </si>
  <si>
    <t xml:space="preserve">server/helpers/mentorship-admin-term.helper.ts</t>
  </si>
  <si>
    <t xml:space="preserve">Align rule in BFF and UI</t>
  </si>
  <si>
    <t xml:space="preserve">Open</t>
  </si>
  <si>
    <t xml:space="preserve">F-02</t>
  </si>
  <si>
    <t xml:space="preserve">POST /admin/programs only checks term dates are non-empty (no format/order check) and doesn't check name length; bad data reaches upstream.</t>
  </si>
  <si>
    <t xml:space="preserve">server/helpers/mentorship-enroll.helper.ts</t>
  </si>
  <si>
    <t xml:space="preserve">Verify upstream rejects; consider BFF validation</t>
  </si>
  <si>
    <t xml:space="preserve">F-03</t>
  </si>
  <si>
    <t xml:space="preserve">Create sends term dates as YYYY-MM-DD (end moved to end of month); update/term routes send RFC 3339 end-of-day UTC. Stored end times may differ.</t>
  </si>
  <si>
    <t xml:space="preserve">mentorship-enroll.helper.ts; mentorship-admin-term.helper.ts</t>
  </si>
  <si>
    <t xml:space="preserve">Compare stored values for created vs edited terms</t>
  </si>
  <si>
    <t xml:space="preserve">F-04</t>
  </si>
  <si>
    <t xml:space="preserve">UX gap</t>
  </si>
  <si>
    <t xml:space="preserve">Every invite 400 shows 'Mentors can only be invited to a published program', including BFF validation 400s (e.g. LFID &gt; 100 chars).</t>
  </si>
  <si>
    <t xml:space="preserve">Map BFF validation 400 separately</t>
  </si>
  <si>
    <t xml:space="preserve">F-05</t>
  </si>
  <si>
    <t xml:space="preserve">Non-UUID program id shows generic load error instead of 'Program not found'.</t>
  </si>
  <si>
    <t xml:space="preserve">program-detail.component.ts</t>
  </si>
  <si>
    <t xml:space="preserve">Map 400 to not-found</t>
  </si>
  <si>
    <t xml:space="preserve">F-06</t>
  </si>
  <si>
    <t xml:space="preserve">Question</t>
  </si>
  <si>
    <t xml:space="preserve">Edit Program shown for every status incl. rejected and hidden; no client gate.</t>
  </si>
  <si>
    <t xml:space="preserve">program-detail-header.component.ts</t>
  </si>
  <si>
    <t xml:space="preserve">Confirm expected</t>
  </si>
  <si>
    <t xml:space="preserve">F-07</t>
  </si>
  <si>
    <t xml:space="preserve">Race condition</t>
  </si>
  <si>
    <t xml:space="preserve">Open-term count pre-check and name-taken check are separate from the write; concurrent requests can both pass.</t>
  </si>
  <si>
    <t xml:space="preserve">server/services/mentorship-admin.service.ts</t>
  </si>
  <si>
    <t xml:space="preserve">Confirm upstream enforces limits atomically</t>
  </si>
  <si>
    <t xml:space="preserve">F-08</t>
  </si>
  <si>
    <t xml:space="preserve">Mentor register checks for existing profile and then writes in two calls; two simultaneous submits can both pass. Same for profile edit when skills change.</t>
  </si>
  <si>
    <t xml:space="preserve">server/services/mentorship-mentor.service.ts</t>
  </si>
  <si>
    <t xml:space="preserve">Confirm upstream uniqueness</t>
  </si>
  <si>
    <t xml:space="preserve">F-09</t>
  </si>
  <si>
    <t xml:space="preserve">Mentor program detail only reads open terms (type=current); past-term applicants and mentees not visible.</t>
  </si>
  <si>
    <t xml:space="preserve">F-10</t>
  </si>
  <si>
    <t xml:space="preserve">Mentor/Mentee</t>
  </si>
  <si>
    <t xml:space="preserve">Register Cancel (mentor and mentee) navigates to /mentorship/admin; /mentorship also redirects to admin for every user.</t>
  </si>
  <si>
    <t xml:space="preserve">mentor-register; mentee-register; mentorship.routes.ts</t>
  </si>
  <si>
    <t xml:space="preserve">Confirm intended landing</t>
  </si>
  <si>
    <t xml:space="preserve">F-11</t>
  </si>
  <si>
    <t xml:space="preserve">Register program picker doesn't disable programs the user is already invited to; selecting one gives 409 after profile creation.</t>
  </si>
  <si>
    <t xml:space="preserve">mentor-programs-section</t>
  </si>
  <si>
    <t xml:space="preserve">Load invitations in register picker</t>
  </si>
  <si>
    <t xml:space="preserve">F-12</t>
  </si>
  <si>
    <t xml:space="preserve">No guards on mentor shell tabs: user without mentor profile can open My Programs and Profile; Edit drawer save fails with 404.</t>
  </si>
  <si>
    <t xml:space="preserve">mentorship.routes.ts</t>
  </si>
  <si>
    <t xml:space="preserve">Add guard or empty-state CTA</t>
  </si>
  <si>
    <t xml:space="preserve">F-13</t>
  </si>
  <si>
    <t xml:space="preserve">Mentors cannot accept/decline applicants, delete tasks, or download CSV (exists for admin only). No DELETE task endpoint anywhere.</t>
  </si>
  <si>
    <t xml:space="preserve">Confirm scope with product</t>
  </si>
  <si>
    <t xml:space="preserve">F-14</t>
  </si>
  <si>
    <t xml:space="preserve">Task due date has no lower bound - past due dates accepted by UI and BFF.</t>
  </si>
  <si>
    <t xml:space="preserve">task-form-dialog; mentorship-task.helper.ts</t>
  </si>
  <si>
    <t xml:space="preserve">Confirm rule</t>
  </si>
  <si>
    <t xml:space="preserve">F-15</t>
  </si>
  <si>
    <t xml:space="preserve">Task panel status dropdown and Edit dialog call PATCH /tasks/:id with any status, bypassing the review endpoint's 'submitted only' check; can mark Completed or reopen approved work, incl. prerequisite tasks.</t>
  </si>
  <si>
    <t xml:space="preserve">applicant-tasks-panel; mentorship-task.controller.ts</t>
  </si>
  <si>
    <t xml:space="preserve">Confirm upstream rules; restrict UI</t>
  </si>
  <si>
    <t xml:space="preserve">F-16</t>
  </si>
  <si>
    <t xml:space="preserve">No profile guard on mentee shell tabs; user without profile can open Profile and Edit -&gt; PATCH 404.</t>
  </si>
  <si>
    <t xml:space="preserve">Add guard</t>
  </si>
  <si>
    <t xml:space="preserve">F-17</t>
  </si>
  <si>
    <t xml:space="preserve">The 5 'Before You Apply' confirmations are client-only; direct POST /apply skips them. After fresh registration the checklist is hidden entirely.</t>
  </si>
  <si>
    <t xml:space="preserve">mentee-apply.component.ts</t>
  </si>
  <si>
    <t xml:space="preserve">Confirm whether server must record consent</t>
  </si>
  <si>
    <t xml:space="preserve">F-18</t>
  </si>
  <si>
    <t xml:space="preserve">3-application limit is copy only; no client enforcement and no mapped upstream message - refusal probably shows generic 'not accepting applications'.</t>
  </si>
  <si>
    <t xml:space="preserve">Confirm upstream message; map it</t>
  </si>
  <si>
    <t xml:space="preserve">F-19</t>
  </si>
  <si>
    <t xml:space="preserve">'Decision expected' date is the term's application close date, but banner says admins review after the window closes.</t>
  </si>
  <si>
    <t xml:space="preserve">mentee-overview</t>
  </si>
  <si>
    <t xml:space="preserve">Confirm copy</t>
  </si>
  <si>
    <t xml:space="preserve">F-20</t>
  </si>
  <si>
    <t xml:space="preserve">Label/colour mismatches: declined 'Not selected' red (Overview) vs 'Not Selected' gray (History); pending 'In Review' vs 'Awaiting Review'/'In Progress'.</t>
  </si>
  <si>
    <t xml:space="preserve">mentee-overview; mentee-profile</t>
  </si>
  <si>
    <t xml:space="preserve">Align labels</t>
  </si>
  <si>
    <t xml:space="preserve">F-21</t>
  </si>
  <si>
    <t xml:space="preserve">has-profile error treated as 'no profile' (mentor and mentee); transient failure shows register form to existing user.</t>
  </si>
  <si>
    <t xml:space="preserve">mentee-register.guard; mentor-register.guard</t>
  </si>
  <si>
    <t xml:space="preserve">Show error/retry instead</t>
  </si>
  <si>
    <t xml:space="preserve">F-22</t>
  </si>
  <si>
    <t xml:space="preserve">One failed task-list read for any application fails the whole overview and My Tasks.</t>
  </si>
  <si>
    <t xml:space="preserve">server/services/mentorship-mentee.service.ts</t>
  </si>
  <si>
    <t xml:space="preserve">Degrade per application</t>
  </si>
  <si>
    <t xml:space="preserve">F-23</t>
  </si>
  <si>
    <t xml:space="preserve">Past-due In Progress task can't be submitted or moved back; stuck In Progress.</t>
  </si>
  <si>
    <t xml:space="preserve">mentee-task-row; mentorship.utils.ts</t>
  </si>
  <si>
    <t xml:space="preserve">F-24</t>
  </si>
  <si>
    <t xml:space="preserve">Remove-file failure with non-past-due 400 shows upload copy ('This file could not be uploaded. Choose a file that is not empty.').</t>
  </si>
  <si>
    <t xml:space="preserve">services/mentorship-task-file.service.ts</t>
  </si>
  <si>
    <t xml:space="preserve">Fix message mapping</t>
  </si>
  <si>
    <t xml:space="preserve">F-25</t>
  </si>
  <si>
    <t xml:space="preserve">Validation differs register vs PATCH: register drops blank skills, PATCH returns 400; register checks demographics against options, PATCH accepts any string &lt;= 100.</t>
  </si>
  <si>
    <t xml:space="preserve">mentorship-mentee-register.helper.ts; mentorship-mentee-profile-update.helper.ts</t>
  </si>
  <si>
    <t xml:space="preserve">Align validation</t>
  </si>
  <si>
    <t xml:space="preserve">F-26</t>
  </si>
  <si>
    <t xml:space="preserve">Demographics only editable from the apply page; Profile tab neither shows nor edits them. Upload is only offered for file-required tasks and jumps To Do straight to Submitted.</t>
  </si>
  <si>
    <t xml:space="preserve">mentee-profile; mentee-task-row</t>
  </si>
  <si>
    <t xml:space="preserve">F-27</t>
  </si>
  <si>
    <t xml:space="preserve">Review GET/POST use microserviceProxy.proxyRequest directly, skipping PUT /me provisioning retry; first-time approver may get 401 and generic error.</t>
  </si>
  <si>
    <t xml:space="preserve">server/services/mentorship.service.ts</t>
  </si>
  <si>
    <t xml:space="preserve">Use proxyMentorshipRequest</t>
  </si>
  <si>
    <t xml:space="preserve">F-28</t>
  </si>
  <si>
    <t xml:space="preserve">408/503 after decision POST leaves outcome unknown, but UI says 'not recorded'.</t>
  </si>
  <si>
    <t xml:space="preserve">Confirm idempotency; adjust copy</t>
  </si>
  <si>
    <t xml:space="preserve">F-29</t>
  </si>
  <si>
    <t xml:space="preserve">While impersonating, the 403 shows the 'approver team' forbidden message.</t>
  </si>
  <si>
    <t xml:space="preserve">Add read-only state</t>
  </si>
  <si>
    <t xml:space="preserve">F-30</t>
  </si>
  <si>
    <t xml:space="preserve">BFF</t>
  </si>
  <si>
    <t xml:space="preserve">BFF only validates UUIDs for child ids (term, member, application); upstream must verify they belong to :programId.</t>
  </si>
  <si>
    <t xml:space="preserve">Run IDOR tests (BFF-03)</t>
  </si>
  <si>
    <t xml:space="preserve">F-31</t>
  </si>
  <si>
    <t xml:space="preserve">JSON body &gt; 15 MB likely returns 500 INTERNAL_ERROR instead of 413 (global parser error isn't a BaseApiError).</t>
  </si>
  <si>
    <t xml:space="preserve">Map to 413</t>
  </si>
  <si>
    <t xml:space="preserve">F-32</t>
  </si>
  <si>
    <t xml:space="preserve">mentorship-enabled flag is UI-only; BFF answers API calls when flag is off. No server-side kill switch.</t>
  </si>
  <si>
    <t xml:space="preserve">Confirm acceptable for launch</t>
  </si>
  <si>
    <t xml:space="preserve">F-33</t>
  </si>
  <si>
    <t xml:space="preserve">Test gap</t>
  </si>
  <si>
    <t xml:space="preserve">No mentorship-mentor.route.spec.ts (impersonation block on invites/* and invitations/* untested); mentorship-admin-term.helper.ts has no spec; no tests for 408/503 mapping, oversize JSON, rate limit, flag-off API. All existing unit specs mock upstream and the 45 mentorship E2E specs stub API responses, so no test exercises real lfx-mentorship.</t>
  </si>
  <si>
    <t xml:space="preserve">apps/lfx-one/src/server/**</t>
  </si>
  <si>
    <t xml:space="preserve">Prioritise these in manual/E2E QA</t>
  </si>
  <si>
    <t xml:space="preserve">#</t>
  </si>
  <si>
    <t xml:space="preserve">Question (backend / product behaviour not visible in lfx-self-serve)</t>
  </si>
  <si>
    <t xml:space="preserve">Ask</t>
  </si>
  <si>
    <t xml:space="preserve">Answer</t>
  </si>
  <si>
    <t xml:space="preserve">Affects scenarios</t>
  </si>
  <si>
    <t xml:space="preserve">Does /me/programs include admins who manage via a project-wide role?</t>
  </si>
  <si>
    <t xml:space="preserve">Backend</t>
  </si>
  <si>
    <t xml:space="preserve">Exact upstream 409/422 bodies for: cannot transition, term closed, close with accepted mentees, delete term with applications?</t>
  </si>
  <si>
    <t xml:space="preserve">Does bulk-decline include legacy 'hold' applications? Does Past Mentees status=pending include hold?</t>
  </si>
  <si>
    <t xml:space="preserve">Can terms be created/edited on a pending-review or rejected program? Can a rejected program be edited and resubmitted?</t>
  </si>
  <si>
    <t xml:space="preserve">Backend / Product</t>
  </si>
  <si>
    <t xml:space="preserve">Does logo upload check file content (magic bytes) or only Content-Type?</t>
  </si>
  <si>
    <t xml:space="preserve">Does PATCH /programs/{id} with a terms array delete omitted open terms, and is it atomic?</t>
  </si>
  <si>
    <t xml:space="preserve">What rules does upstream apply to create-time terms (4-term limit, single-day windows, date order)?</t>
  </si>
  <si>
    <t xml:space="preserve">Are mentor-candidate results limited (e.g. 10)? Does an email search ever return emails?</t>
  </si>
  <si>
    <t xml:space="preserve">Is file storage available in dev? Logo and task-file uploads return 503 when it isn't.</t>
  </si>
  <si>
    <t xml:space="preserve">DevOps</t>
  </si>
  <si>
    <t xml:space="preserve">Can a user accept an invitation (link or in-app) without a mentor profile?</t>
  </si>
  <si>
    <t xml:space="preserve">Does upstream allow mentors to set completed/incomplete via plain PATCH /tasks/:id?</t>
  </si>
  <si>
    <t xml:space="preserve">When a mentor request is approved, how does it reach My Programs (needs published + active mentor)?</t>
  </si>
  <si>
    <t xml:space="preserve">When does an invite token expire? Does the 400 carry a distinct code?</t>
  </si>
  <si>
    <t xml:space="preserve">What does the gateway 403 on term task listings mean (fallback hides other applicants' tasks)?</t>
  </si>
  <si>
    <t xml:space="preserve">Is the reviewer note visible to the mentee?</t>
  </si>
  <si>
    <t xml:space="preserve">Product</t>
  </si>
  <si>
    <t xml:space="preserve">What happens to pending requests/invitations when a program is hidden or unpublished?</t>
  </si>
  <si>
    <t xml:space="preserve">Who receives accept/decline notifications ('We've let the program admins know')? Are emails in scope for QA?</t>
  </si>
  <si>
    <t xml:space="preserve">Full list of application statuses and who sets 'hold'?</t>
  </si>
  <si>
    <t xml:space="preserve">Exact 422 message texts for apply refusals (FE matches substrings - drift silently falls back).</t>
  </si>
  <si>
    <t xml:space="preserve">Does upstream enforce eligibility flags, 3-application limit, reapply limit and 'one accepted mentorship at a time'?</t>
  </si>
  <si>
    <t xml:space="preserve">Does upload always mark the task submitted? Is incomplete -&gt; in_progress allowed?</t>
  </si>
  <si>
    <t xml:space="preserve">Upstream file-type sniffing rules and 409 rules for file changes?</t>
  </si>
  <si>
    <t xml:space="preserve">Can a new task briefly return 403 (async assignee grant)?</t>
  </si>
  <si>
    <t xml:space="preserve">How does the public mentorship site build /mentorship/mentee/apply?programId&amp;programTermId links?</t>
  </si>
  <si>
    <t xml:space="preserve">Frontend (mentorship site)</t>
  </si>
  <si>
    <t xml:space="preserve">How is the approver team managed? Can a program's own admin/creator approve their own program?</t>
  </si>
  <si>
    <t xml:space="preserve">Who receives the review email on program create; is it re-sent after PATCH?</t>
  </si>
  <si>
    <t xml:space="preserve">Can hidden/rejected programs be re-reviewed? What does a decision on a hidden program return?</t>
  </si>
  <si>
    <t xml:space="preserve">Is the decision POST idempotent; what does a retry after timeout return?</t>
  </si>
  <si>
    <t xml:space="preserve">Which upstreamCode discriminators exist besides TASK_NOT_SUBMITTED and 'local user is not provisioned'?</t>
  </si>
  <si>
    <t xml:space="preserve">Upstream rate limits and payload limits below the BFF's 15 MB / 20 MB?</t>
  </si>
  <si>
    <t xml:space="preserve">Should there be a server-side kill switch for mentorship when the flag is off?</t>
  </si>
  <si>
    <t xml:space="preserve">Product / Eng lead</t>
  </si>
  <si>
    <t xml:space="preserve">Method</t>
  </si>
  <si>
    <t xml:space="preserve">Path (under /api/mentorship)</t>
  </si>
  <si>
    <t xml:space="preserve">Controller</t>
  </si>
  <si>
    <t xml:space="preserve">Role enforced upstream</t>
  </si>
  <si>
    <t xml:space="preserve">Write (blocked when impersonating)</t>
  </si>
  <si>
    <t xml:space="preserve">Correct role</t>
  </si>
  <si>
    <t xml:space="preserve">Wrong role / IDOR</t>
  </si>
  <si>
    <t xml:space="preserve">Impersonation</t>
  </si>
  <si>
    <t xml:space="preserve">GET</t>
  </si>
  <si>
    <t xml:space="preserve">/programs/name-available?name&amp;excludeProgramId</t>
  </si>
  <si>
    <t xml:space="preserve">MentorshipController.isProgramNameAvailable</t>
  </si>
  <si>
    <t xml:space="preserve">No</t>
  </si>
  <si>
    <t xml:space="preserve">/program-review/:programId</t>
  </si>
  <si>
    <t xml:space="preserve">getProgramReview</t>
  </si>
  <si>
    <t xml:space="preserve">Upstream viewer check</t>
  </si>
  <si>
    <t xml:space="preserve">POST</t>
  </si>
  <si>
    <t xml:space="preserve">/program-review/:programId/decision</t>
  </si>
  <si>
    <t xml:space="preserve">submitProgramDecision</t>
  </si>
  <si>
    <t xml:space="preserve">Approver team</t>
  </si>
  <si>
    <t xml:space="preserve">Yes</t>
  </si>
  <si>
    <t xml:space="preserve">PATCH</t>
  </si>
  <si>
    <t xml:space="preserve">/me/lfx-profile</t>
  </si>
  <si>
    <t xml:space="preserve">syncLfxProfile</t>
  </si>
  <si>
    <t xml:space="preserve">Self</t>
  </si>
  <si>
    <t xml:space="preserve">/lf-projects?search&amp;page_token&amp;page_size</t>
  </si>
  <si>
    <t xml:space="preserve">getLfProjects</t>
  </si>
  <si>
    <t xml:space="preserve">/cii/:projectId</t>
  </si>
  <si>
    <t xml:space="preserve">getCiiBadge</t>
  </si>
  <si>
    <t xml:space="preserve">/admin/programs</t>
  </si>
  <si>
    <t xml:space="preserve">MentorshipAdminController.getPrograms</t>
  </si>
  <si>
    <t xml:space="preserve">Caller's administered programs</t>
  </si>
  <si>
    <t xml:space="preserve">/admin/programs/:programId</t>
  </si>
  <si>
    <t xml:space="preserve">getProgram</t>
  </si>
  <si>
    <t xml:space="preserve">/admin/programs/:programId/enroll-template</t>
  </si>
  <si>
    <t xml:space="preserve">getEnrollTemplate</t>
  </si>
  <si>
    <t xml:space="preserve">/admin/programs/:programId/mentees</t>
  </si>
  <si>
    <t xml:space="preserve">getProgramMentees</t>
  </si>
  <si>
    <t xml:space="preserve">/admin/programs/:programId/mentees/export</t>
  </si>
  <si>
    <t xml:space="preserve">exportProgramMentees</t>
  </si>
  <si>
    <t xml:space="preserve">/admin/programs/:programId/mentors</t>
  </si>
  <si>
    <t xml:space="preserve">getProgramMentors</t>
  </si>
  <si>
    <t xml:space="preserve">/admin/programs/:programId/mentor-candidates</t>
  </si>
  <si>
    <t xml:space="preserve">getMentorCandidates (read)</t>
  </si>
  <si>
    <t xml:space="preserve">/admin/programs/:programId/terms</t>
  </si>
  <si>
    <t xml:space="preserve">getProgramTerms</t>
  </si>
  <si>
    <t xml:space="preserve">/admin/applications/:applicationId/tasks</t>
  </si>
  <si>
    <t xml:space="preserve">getApplicationTasks</t>
  </si>
  <si>
    <t xml:space="preserve">/admin/applications/:applicationId/status</t>
  </si>
  <si>
    <t xml:space="preserve">updateApplicationStatus</t>
  </si>
  <si>
    <t xml:space="preserve">PUT</t>
  </si>
  <si>
    <t xml:space="preserve">/admin/applications/:applicationId/note</t>
  </si>
  <si>
    <t xml:space="preserve">updateApplicationNote</t>
  </si>
  <si>
    <t xml:space="preserve">/admin/applications/:applicationId/withdraw</t>
  </si>
  <si>
    <t xml:space="preserve">withdrawApplication</t>
  </si>
  <si>
    <t xml:space="preserve">inviteProgramMentor</t>
  </si>
  <si>
    <t xml:space="preserve">/admin/programs/:programId/mentors/:memberId</t>
  </si>
  <si>
    <t xml:space="preserve">updateProgramMentor</t>
  </si>
  <si>
    <t xml:space="preserve">/admin/programs/:programId/terms/:termId/decline-pending</t>
  </si>
  <si>
    <t xml:space="preserve">declinePendingForTerm</t>
  </si>
  <si>
    <t xml:space="preserve">createProgram</t>
  </si>
  <si>
    <t xml:space="preserve">Any user (creator)</t>
  </si>
  <si>
    <t xml:space="preserve">updateProgram</t>
  </si>
  <si>
    <t xml:space="preserve">/admin/programs/:programId/hide</t>
  </si>
  <si>
    <t xml:space="preserve">hideProgram</t>
  </si>
  <si>
    <t xml:space="preserve">/admin/programs/:programId/unhide</t>
  </si>
  <si>
    <t xml:space="preserve">unhideProgram</t>
  </si>
  <si>
    <t xml:space="preserve">/admin/programs/:programId/logo</t>
  </si>
  <si>
    <t xml:space="preserve">uploadProgramLogo</t>
  </si>
  <si>
    <t xml:space="preserve">createTerm</t>
  </si>
  <si>
    <t xml:space="preserve">/admin/programs/:programId/terms/:termId</t>
  </si>
  <si>
    <t xml:space="preserve">updateTerm</t>
  </si>
  <si>
    <t xml:space="preserve">/admin/programs/:programId/terms/:termId/close</t>
  </si>
  <si>
    <t xml:space="preserve">closeTerm</t>
  </si>
  <si>
    <t xml:space="preserve">/admin/programs/:programId/terms/:termId/reopen</t>
  </si>
  <si>
    <t xml:space="preserve">reopenTerm</t>
  </si>
  <si>
    <t xml:space="preserve">DELETE</t>
  </si>
  <si>
    <t xml:space="preserve">deleteTerm</t>
  </si>
  <si>
    <t xml:space="preserve">/mentor/has-profile</t>
  </si>
  <si>
    <t xml:space="preserve">MentorshipMentorController.hasMentorProfile</t>
  </si>
  <si>
    <t xml:space="preserve">/mentor/profile</t>
  </si>
  <si>
    <t xml:space="preserve">registerMentorProfile</t>
  </si>
  <si>
    <t xml:space="preserve">/mentor/open-programs?search&amp;offset</t>
  </si>
  <si>
    <t xml:space="preserve">getOpenPrograms</t>
  </si>
  <si>
    <t xml:space="preserve">/mentor/requests</t>
  </si>
  <si>
    <t xml:space="preserve">getMentorRequests</t>
  </si>
  <si>
    <t xml:space="preserve">requestToMentor</t>
  </si>
  <si>
    <t xml:space="preserve">/mentor/requests/:requestId/withdraw</t>
  </si>
  <si>
    <t xml:space="preserve">withdrawMentorRequest</t>
  </si>
  <si>
    <t xml:space="preserve">Request owner</t>
  </si>
  <si>
    <t xml:space="preserve">/mentor/invites/accept</t>
  </si>
  <si>
    <t xml:space="preserve">acceptMentorInvite</t>
  </si>
  <si>
    <t xml:space="preserve">Token owner</t>
  </si>
  <si>
    <t xml:space="preserve">/mentor/invites/decline</t>
  </si>
  <si>
    <t xml:space="preserve">declineMentorInvite</t>
  </si>
  <si>
    <t xml:space="preserve">/mentor/invitations/:invitationId/accept</t>
  </si>
  <si>
    <t xml:space="preserve">acceptMentorInvitation</t>
  </si>
  <si>
    <t xml:space="preserve">Invitee</t>
  </si>
  <si>
    <t xml:space="preserve">/mentor/invitations/:invitationId/decline</t>
  </si>
  <si>
    <t xml:space="preserve">declineMentorInvitation</t>
  </si>
  <si>
    <t xml:space="preserve">/mentor/programs</t>
  </si>
  <si>
    <t xml:space="preserve">getMentorPrograms</t>
  </si>
  <si>
    <t xml:space="preserve">Active mentor</t>
  </si>
  <si>
    <t xml:space="preserve">/mentor/programs/:programId</t>
  </si>
  <si>
    <t xml:space="preserve">getMentorProgram</t>
  </si>
  <si>
    <t xml:space="preserve">/mentor/applications/:applicationId/note</t>
  </si>
  <si>
    <t xml:space="preserve">/mentor/tasks/:taskId/review</t>
  </si>
  <si>
    <t xml:space="preserve">reviewMenteeTask</t>
  </si>
  <si>
    <t xml:space="preserve">getMentorProfile</t>
  </si>
  <si>
    <t xml:space="preserve">updateMentorProfile</t>
  </si>
  <si>
    <t xml:space="preserve">/mentee/has-profile</t>
  </si>
  <si>
    <t xml:space="preserve">MentorshipMenteeController.hasMenteeProfile</t>
  </si>
  <si>
    <t xml:space="preserve">/mentee/profile</t>
  </si>
  <si>
    <t xml:space="preserve">registerMenteeProfile</t>
  </si>
  <si>
    <t xml:space="preserve">/mentee/applications?withTasks</t>
  </si>
  <si>
    <t xml:space="preserve">getMenteeApplications</t>
  </si>
  <si>
    <t xml:space="preserve">/mentee/applications/:applicationId/withdraw</t>
  </si>
  <si>
    <t xml:space="preserve">withdrawMenteeApplication</t>
  </si>
  <si>
    <t xml:space="preserve">Applicant</t>
  </si>
  <si>
    <t xml:space="preserve">/mentee/tasks/:taskId</t>
  </si>
  <si>
    <t xml:space="preserve">updateMenteeTaskStatus</t>
  </si>
  <si>
    <t xml:space="preserve">Assignee</t>
  </si>
  <si>
    <t xml:space="preserve">/mentee/tasks/:taskId/file</t>
  </si>
  <si>
    <t xml:space="preserve">uploadMenteeTaskFile</t>
  </si>
  <si>
    <t xml:space="preserve">deleteMenteeTaskFile</t>
  </si>
  <si>
    <t xml:space="preserve">getMenteeProfile</t>
  </si>
  <si>
    <t xml:space="preserve">updateMenteeProfile</t>
  </si>
  <si>
    <t xml:space="preserve">/mentee/apply-target?programId&amp;programTermId</t>
  </si>
  <si>
    <t xml:space="preserve">getMenteeApplyTarget</t>
  </si>
  <si>
    <t xml:space="preserve">/mentee/apply</t>
  </si>
  <si>
    <t xml:space="preserve">applyToMenteeTerm</t>
  </si>
  <si>
    <t xml:space="preserve">User with mentee profile</t>
  </si>
  <si>
    <t xml:space="preserve">/tasks</t>
  </si>
  <si>
    <t xml:space="preserve">MentorshipTaskController.createTasks</t>
  </si>
  <si>
    <t xml:space="preserve">Program admin or mentor</t>
  </si>
  <si>
    <t xml:space="preserve">/tasks/:taskId</t>
  </si>
  <si>
    <t xml:space="preserve">updateTask</t>
  </si>
  <si>
    <t xml:space="preserve">/tasks/:taskId/file</t>
  </si>
  <si>
    <t xml:space="preserve">downloadTaskFile</t>
  </si>
  <si>
    <t xml:space="preserve">Assignee or reviewers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</si>
</sst>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E7E6E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9C5700"/>
        <sz val="10"/>
      </font>
    </dxf>
    <dxf>
      <font>
        <name val="Arial"/>
        <charset val="1"/>
        <family val="0"/>
        <b val="1"/>
        <color rgb="FF0061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EF3FA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23.85" hidden="false" customHeight="false" outlineLevel="0" collapsed="false">
      <c r="A23" s="2" t="s">
        <v>19</v>
      </c>
    </row>
    <row r="24" customFormat="false" ht="23.8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10" min="8" style="0" width="7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4" t="s">
        <v>22</v>
      </c>
    </row>
    <row r="2" customFormat="false" ht="15" hidden="false" customHeight="false" outlineLevel="0" collapsed="false">
      <c r="A2" s="5" t="s">
        <v>23</v>
      </c>
    </row>
    <row r="4" customFormat="false" ht="30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</row>
    <row r="5" customFormat="false" ht="15" hidden="false" customHeight="false" outlineLevel="0" collapsed="false">
      <c r="A5" s="7" t="s">
        <v>41</v>
      </c>
      <c r="B5" s="8" t="n">
        <f aca="false">SUMPRODUCT((Admin!$B$2:$B$1000&lt;&gt;"")/COUNTIF(Admin!$B$2:$B$1000,Admin!$B$2:$B$1000&amp;""))</f>
        <v>23</v>
      </c>
      <c r="C5" s="8" t="n">
        <f aca="false">COUNTA(Admin!$A$2:$A$1000)</f>
        <v>189</v>
      </c>
      <c r="D5" s="8" t="n">
        <f aca="false">COUNTIF(Admin!$F$2:$F$1000,"Happy")</f>
        <v>50</v>
      </c>
      <c r="E5" s="8" t="n">
        <f aca="false">COUNTIF(Admin!$F$2:$F$1000,"Negative")</f>
        <v>69</v>
      </c>
      <c r="F5" s="8" t="n">
        <f aca="false">COUNTIF(Admin!$F$2:$F$1000,"Edge")</f>
        <v>58</v>
      </c>
      <c r="G5" s="8" t="n">
        <f aca="false">COUNTIF(Admin!$F$2:$F$1000,"Security")</f>
        <v>12</v>
      </c>
      <c r="H5" s="8" t="n">
        <f aca="false">COUNTIF(Admin!$I$2:$I$1000,"P1")</f>
        <v>60</v>
      </c>
      <c r="I5" s="8" t="n">
        <f aca="false">COUNTIF(Admin!$I$2:$I$1000,"P2")</f>
        <v>76</v>
      </c>
      <c r="J5" s="8" t="n">
        <f aca="false">COUNTIF(Admin!$I$2:$I$1000,"P3")</f>
        <v>53</v>
      </c>
      <c r="K5" s="8" t="n">
        <f aca="false">COUNTIF(Admin!$K$2:$K$1000,"Not Run")</f>
        <v>189</v>
      </c>
      <c r="L5" s="8" t="n">
        <f aca="false">COUNTIF(Admin!$K$2:$K$1000,"Pass")</f>
        <v>0</v>
      </c>
      <c r="M5" s="8" t="n">
        <f aca="false">COUNTIF(Admin!$K$2:$K$1000,"Fail")</f>
        <v>0</v>
      </c>
      <c r="N5" s="8" t="n">
        <f aca="false">COUNTIF(Admin!$K$2:$K$1000,"Blocked")</f>
        <v>0</v>
      </c>
      <c r="O5" s="8" t="n">
        <f aca="false">COUNTIF(Admin!$K$2:$K$1000,"N/A")</f>
        <v>0</v>
      </c>
      <c r="P5" s="9" t="n">
        <f aca="false">IF(C5-O5=0,0,(L5+M5)/(C5-O5))</f>
        <v>0</v>
      </c>
      <c r="Q5" s="9" t="n">
        <f aca="false">IF(L5+M5=0,0,L5/(L5+M5))</f>
        <v>0</v>
      </c>
    </row>
    <row r="6" customFormat="false" ht="15" hidden="false" customHeight="false" outlineLevel="0" collapsed="false">
      <c r="A6" s="7" t="s">
        <v>42</v>
      </c>
      <c r="B6" s="8" t="n">
        <f aca="false">SUMPRODUCT((Mentor!$B$2:$B$1000&lt;&gt;"")/COUNTIF(Mentor!$B$2:$B$1000,Mentor!$B$2:$B$1000&amp;""))</f>
        <v>16</v>
      </c>
      <c r="C6" s="8" t="n">
        <f aca="false">COUNTA(Mentor!$A$2:$A$1000)</f>
        <v>110</v>
      </c>
      <c r="D6" s="8" t="n">
        <f aca="false">COUNTIF(Mentor!$F$2:$F$1000,"Happy")</f>
        <v>31</v>
      </c>
      <c r="E6" s="8" t="n">
        <f aca="false">COUNTIF(Mentor!$F$2:$F$1000,"Negative")</f>
        <v>30</v>
      </c>
      <c r="F6" s="8" t="n">
        <f aca="false">COUNTIF(Mentor!$F$2:$F$1000,"Edge")</f>
        <v>34</v>
      </c>
      <c r="G6" s="8" t="n">
        <f aca="false">COUNTIF(Mentor!$F$2:$F$1000,"Security")</f>
        <v>15</v>
      </c>
      <c r="H6" s="8" t="n">
        <f aca="false">COUNTIF(Mentor!$I$2:$I$1000,"P1")</f>
        <v>46</v>
      </c>
      <c r="I6" s="8" t="n">
        <f aca="false">COUNTIF(Mentor!$I$2:$I$1000,"P2")</f>
        <v>36</v>
      </c>
      <c r="J6" s="8" t="n">
        <f aca="false">COUNTIF(Mentor!$I$2:$I$1000,"P3")</f>
        <v>28</v>
      </c>
      <c r="K6" s="8" t="n">
        <f aca="false">COUNTIF(Mentor!$K$2:$K$1000,"Not Run")</f>
        <v>110</v>
      </c>
      <c r="L6" s="8" t="n">
        <f aca="false">COUNTIF(Mentor!$K$2:$K$1000,"Pass")</f>
        <v>0</v>
      </c>
      <c r="M6" s="8" t="n">
        <f aca="false">COUNTIF(Mentor!$K$2:$K$1000,"Fail")</f>
        <v>0</v>
      </c>
      <c r="N6" s="8" t="n">
        <f aca="false">COUNTIF(Mentor!$K$2:$K$1000,"Blocked")</f>
        <v>0</v>
      </c>
      <c r="O6" s="8" t="n">
        <f aca="false">COUNTIF(Mentor!$K$2:$K$1000,"N/A")</f>
        <v>0</v>
      </c>
      <c r="P6" s="9" t="n">
        <f aca="false">IF(C6-O6=0,0,(L6+M6)/(C6-O6))</f>
        <v>0</v>
      </c>
      <c r="Q6" s="9" t="n">
        <f aca="false">IF(L6+M6=0,0,L6/(L6+M6))</f>
        <v>0</v>
      </c>
    </row>
    <row r="7" customFormat="false" ht="15" hidden="false" customHeight="false" outlineLevel="0" collapsed="false">
      <c r="A7" s="7" t="s">
        <v>43</v>
      </c>
      <c r="B7" s="8" t="n">
        <f aca="false">SUMPRODUCT((Mentee!$B$2:$B$1000&lt;&gt;"")/COUNTIF(Mentee!$B$2:$B$1000,Mentee!$B$2:$B$1000&amp;""))</f>
        <v>17</v>
      </c>
      <c r="C7" s="8" t="n">
        <f aca="false">COUNTA(Mentee!$A$2:$A$1000)</f>
        <v>118</v>
      </c>
      <c r="D7" s="8" t="n">
        <f aca="false">COUNTIF(Mentee!$F$2:$F$1000,"Happy")</f>
        <v>25</v>
      </c>
      <c r="E7" s="8" t="n">
        <f aca="false">COUNTIF(Mentee!$F$2:$F$1000,"Negative")</f>
        <v>39</v>
      </c>
      <c r="F7" s="8" t="n">
        <f aca="false">COUNTIF(Mentee!$F$2:$F$1000,"Edge")</f>
        <v>40</v>
      </c>
      <c r="G7" s="8" t="n">
        <f aca="false">COUNTIF(Mentee!$F$2:$F$1000,"Security")</f>
        <v>14</v>
      </c>
      <c r="H7" s="8" t="n">
        <f aca="false">COUNTIF(Mentee!$I$2:$I$1000,"P1")</f>
        <v>40</v>
      </c>
      <c r="I7" s="8" t="n">
        <f aca="false">COUNTIF(Mentee!$I$2:$I$1000,"P2")</f>
        <v>47</v>
      </c>
      <c r="J7" s="8" t="n">
        <f aca="false">COUNTIF(Mentee!$I$2:$I$1000,"P3")</f>
        <v>31</v>
      </c>
      <c r="K7" s="8" t="n">
        <f aca="false">COUNTIF(Mentee!$K$2:$K$1000,"Not Run")</f>
        <v>118</v>
      </c>
      <c r="L7" s="8" t="n">
        <f aca="false">COUNTIF(Mentee!$K$2:$K$1000,"Pass")</f>
        <v>0</v>
      </c>
      <c r="M7" s="8" t="n">
        <f aca="false">COUNTIF(Mentee!$K$2:$K$1000,"Fail")</f>
        <v>0</v>
      </c>
      <c r="N7" s="8" t="n">
        <f aca="false">COUNTIF(Mentee!$K$2:$K$1000,"Blocked")</f>
        <v>0</v>
      </c>
      <c r="O7" s="8" t="n">
        <f aca="false">COUNTIF(Mentee!$K$2:$K$1000,"N/A")</f>
        <v>0</v>
      </c>
      <c r="P7" s="9" t="n">
        <f aca="false">IF(C7-O7=0,0,(L7+M7)/(C7-O7))</f>
        <v>0</v>
      </c>
      <c r="Q7" s="9" t="n">
        <f aca="false">IF(L7+M7=0,0,L7/(L7+M7))</f>
        <v>0</v>
      </c>
    </row>
    <row r="8" customFormat="false" ht="15" hidden="false" customHeight="false" outlineLevel="0" collapsed="false">
      <c r="A8" s="7" t="s">
        <v>44</v>
      </c>
      <c r="B8" s="8" t="n">
        <f aca="false">SUMPRODUCT(('Program Review'!$B$2:$B$1000&lt;&gt;"")/COUNTIF('Program Review'!$B$2:$B$1000,'Program Review'!$B$2:$B$1000&amp;""))</f>
        <v>8</v>
      </c>
      <c r="C8" s="8" t="n">
        <f aca="false">COUNTA('Program Review'!$A$2:$A$1000)</f>
        <v>25</v>
      </c>
      <c r="D8" s="8" t="n">
        <f aca="false">COUNTIF('Program Review'!$F$2:$F$1000,"Happy")</f>
        <v>3</v>
      </c>
      <c r="E8" s="8" t="n">
        <f aca="false">COUNTIF('Program Review'!$F$2:$F$1000,"Negative")</f>
        <v>8</v>
      </c>
      <c r="F8" s="8" t="n">
        <f aca="false">COUNTIF('Program Review'!$F$2:$F$1000,"Edge")</f>
        <v>8</v>
      </c>
      <c r="G8" s="8" t="n">
        <f aca="false">COUNTIF('Program Review'!$F$2:$F$1000,"Security")</f>
        <v>6</v>
      </c>
      <c r="H8" s="8" t="n">
        <f aca="false">COUNTIF('Program Review'!$I$2:$I$1000,"P1")</f>
        <v>12</v>
      </c>
      <c r="I8" s="8" t="n">
        <f aca="false">COUNTIF('Program Review'!$I$2:$I$1000,"P2")</f>
        <v>8</v>
      </c>
      <c r="J8" s="8" t="n">
        <f aca="false">COUNTIF('Program Review'!$I$2:$I$1000,"P3")</f>
        <v>5</v>
      </c>
      <c r="K8" s="8" t="n">
        <f aca="false">COUNTIF('Program Review'!$K$2:$K$1000,"Not Run")</f>
        <v>25</v>
      </c>
      <c r="L8" s="8" t="n">
        <f aca="false">COUNTIF('Program Review'!$K$2:$K$1000,"Pass")</f>
        <v>0</v>
      </c>
      <c r="M8" s="8" t="n">
        <f aca="false">COUNTIF('Program Review'!$K$2:$K$1000,"Fail")</f>
        <v>0</v>
      </c>
      <c r="N8" s="8" t="n">
        <f aca="false">COUNTIF('Program Review'!$K$2:$K$1000,"Blocked")</f>
        <v>0</v>
      </c>
      <c r="O8" s="8" t="n">
        <f aca="false">COUNTIF('Program Review'!$K$2:$K$1000,"N/A")</f>
        <v>0</v>
      </c>
      <c r="P8" s="9" t="n">
        <f aca="false">IF(C8-O8=0,0,(L8+M8)/(C8-O8))</f>
        <v>0</v>
      </c>
      <c r="Q8" s="9" t="n">
        <f aca="false">IF(L8+M8=0,0,L8/(L8+M8))</f>
        <v>0</v>
      </c>
    </row>
    <row r="9" customFormat="false" ht="15" hidden="false" customHeight="false" outlineLevel="0" collapsed="false">
      <c r="A9" s="7" t="s">
        <v>45</v>
      </c>
      <c r="B9" s="8" t="n">
        <f aca="false">SUMPRODUCT(('BFF API'!$B$2:$B$1000&lt;&gt;"")/COUNTIF('BFF API'!$B$2:$B$1000,'BFF API'!$B$2:$B$1000&amp;""))</f>
        <v>13</v>
      </c>
      <c r="C9" s="8" t="n">
        <f aca="false">COUNTA('BFF API'!$A$2:$A$1000)</f>
        <v>41</v>
      </c>
      <c r="D9" s="8" t="n">
        <f aca="false">COUNTIF('BFF API'!$F$2:$F$1000,"Happy")</f>
        <v>1</v>
      </c>
      <c r="E9" s="8" t="n">
        <f aca="false">COUNTIF('BFF API'!$F$2:$F$1000,"Negative")</f>
        <v>12</v>
      </c>
      <c r="F9" s="8" t="n">
        <f aca="false">COUNTIF('BFF API'!$F$2:$F$1000,"Edge")</f>
        <v>10</v>
      </c>
      <c r="G9" s="8" t="n">
        <f aca="false">COUNTIF('BFF API'!$F$2:$F$1000,"Security")</f>
        <v>18</v>
      </c>
      <c r="H9" s="8" t="n">
        <f aca="false">COUNTIF('BFF API'!$I$2:$I$1000,"P1")</f>
        <v>20</v>
      </c>
      <c r="I9" s="8" t="n">
        <f aca="false">COUNTIF('BFF API'!$I$2:$I$1000,"P2")</f>
        <v>13</v>
      </c>
      <c r="J9" s="8" t="n">
        <f aca="false">COUNTIF('BFF API'!$I$2:$I$1000,"P3")</f>
        <v>8</v>
      </c>
      <c r="K9" s="8" t="n">
        <f aca="false">COUNTIF('BFF API'!$K$2:$K$1000,"Not Run")</f>
        <v>41</v>
      </c>
      <c r="L9" s="8" t="n">
        <f aca="false">COUNTIF('BFF API'!$K$2:$K$1000,"Pass")</f>
        <v>0</v>
      </c>
      <c r="M9" s="8" t="n">
        <f aca="false">COUNTIF('BFF API'!$K$2:$K$1000,"Fail")</f>
        <v>0</v>
      </c>
      <c r="N9" s="8" t="n">
        <f aca="false">COUNTIF('BFF API'!$K$2:$K$1000,"Blocked")</f>
        <v>0</v>
      </c>
      <c r="O9" s="8" t="n">
        <f aca="false">COUNTIF('BFF API'!$K$2:$K$1000,"N/A")</f>
        <v>0</v>
      </c>
      <c r="P9" s="9" t="n">
        <f aca="false">IF(C9-O9=0,0,(L9+M9)/(C9-O9))</f>
        <v>0</v>
      </c>
      <c r="Q9" s="9" t="n">
        <f aca="false">IF(L9+M9=0,0,L9/(L9+M9))</f>
        <v>0</v>
      </c>
    </row>
    <row r="10" customFormat="false" ht="15" hidden="false" customHeight="false" outlineLevel="0" collapsed="false">
      <c r="A10" s="10" t="s">
        <v>46</v>
      </c>
      <c r="B10" s="11" t="n">
        <f aca="false">SUM(B5:B9)</f>
        <v>77</v>
      </c>
      <c r="C10" s="11" t="n">
        <f aca="false">SUM(C5:C9)</f>
        <v>483</v>
      </c>
      <c r="D10" s="11" t="n">
        <f aca="false">SUM(D5:D9)</f>
        <v>110</v>
      </c>
      <c r="E10" s="11" t="n">
        <f aca="false">SUM(E5:E9)</f>
        <v>158</v>
      </c>
      <c r="F10" s="11" t="n">
        <f aca="false">SUM(F5:F9)</f>
        <v>150</v>
      </c>
      <c r="G10" s="11" t="n">
        <f aca="false">SUM(G5:G9)</f>
        <v>65</v>
      </c>
      <c r="H10" s="11" t="n">
        <f aca="false">SUM(H5:H9)</f>
        <v>178</v>
      </c>
      <c r="I10" s="11" t="n">
        <f aca="false">SUM(I5:I9)</f>
        <v>180</v>
      </c>
      <c r="J10" s="11" t="n">
        <f aca="false">SUM(J5:J9)</f>
        <v>125</v>
      </c>
      <c r="K10" s="11" t="n">
        <f aca="false">SUM(K5:K9)</f>
        <v>483</v>
      </c>
      <c r="L10" s="11" t="n">
        <f aca="false">SUM(L5:L9)</f>
        <v>0</v>
      </c>
      <c r="M10" s="11" t="n">
        <f aca="false">SUM(M5:M9)</f>
        <v>0</v>
      </c>
      <c r="N10" s="11" t="n">
        <f aca="false">SUM(N5:N9)</f>
        <v>0</v>
      </c>
      <c r="O10" s="11" t="n">
        <f aca="false">SUM(O5:O9)</f>
        <v>0</v>
      </c>
      <c r="P10" s="12" t="n">
        <f aca="false">IF(C10-O10=0,0,(L10+M10)/(C10-O10))</f>
        <v>0</v>
      </c>
      <c r="Q10" s="12" t="n">
        <f aca="false">IF(L10+M10=0,0,L10/(L10+M10))</f>
        <v>0</v>
      </c>
    </row>
    <row r="12" customFormat="false" ht="15" hidden="false" customHeight="false" outlineLevel="0" collapsed="false">
      <c r="A12" s="13" t="s">
        <v>47</v>
      </c>
    </row>
    <row r="13" customFormat="false" ht="15" hidden="false" customHeight="false" outlineLevel="0" collapsed="false">
      <c r="A13" s="14" t="s">
        <v>48</v>
      </c>
      <c r="B13" s="14" t="n">
        <f aca="false">COUNTA(Findings!$A$2:$A$500)</f>
        <v>33</v>
      </c>
    </row>
    <row r="14" customFormat="false" ht="15" hidden="false" customHeight="false" outlineLevel="0" collapsed="false">
      <c r="A14" s="14" t="s">
        <v>49</v>
      </c>
      <c r="B14" s="14" t="n">
        <f aca="false">COUNTIF(Findings!$G$2:$G$500,"Open")</f>
        <v>33</v>
      </c>
    </row>
    <row r="15" customFormat="false" ht="15" hidden="false" customHeight="false" outlineLevel="0" collapsed="false">
      <c r="A15" s="14" t="s">
        <v>50</v>
      </c>
      <c r="B15" s="14" t="n">
        <f aca="false">COUNTIF('Open Questions'!$E$2:$E$500,"Open")</f>
        <v>31</v>
      </c>
    </row>
    <row r="16" customFormat="false" ht="15" hidden="false" customHeight="false" outlineLevel="0" collapsed="false">
      <c r="A16" s="14" t="s">
        <v>51</v>
      </c>
      <c r="B16" s="14" t="n">
        <f aca="false">COUNTA(Endpoints!$A$2:$A$500)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46.25" hidden="false" customHeight="false" outlineLevel="0" collapsed="false">
      <c r="A2" s="15" t="s">
        <v>67</v>
      </c>
      <c r="B2" s="15" t="s">
        <v>68</v>
      </c>
      <c r="C2" s="16" t="s">
        <v>69</v>
      </c>
      <c r="D2" s="16" t="s">
        <v>70</v>
      </c>
      <c r="E2" s="16" t="s">
        <v>71</v>
      </c>
      <c r="F2" s="15" t="s">
        <v>27</v>
      </c>
      <c r="G2" s="16" t="s">
        <v>72</v>
      </c>
      <c r="H2" s="16" t="s">
        <v>73</v>
      </c>
      <c r="I2" s="15" t="s">
        <v>31</v>
      </c>
      <c r="J2" s="16" t="s">
        <v>74</v>
      </c>
      <c r="K2" s="17" t="s">
        <v>34</v>
      </c>
      <c r="L2" s="18"/>
      <c r="M2" s="18"/>
      <c r="N2" s="18"/>
      <c r="O2" s="18"/>
    </row>
    <row r="3" customFormat="false" ht="46.25" hidden="false" customHeight="false" outlineLevel="0" collapsed="false">
      <c r="A3" s="15" t="s">
        <v>75</v>
      </c>
      <c r="B3" s="15" t="s">
        <v>68</v>
      </c>
      <c r="C3" s="16" t="s">
        <v>69</v>
      </c>
      <c r="D3" s="16" t="s">
        <v>70</v>
      </c>
      <c r="E3" s="16" t="s">
        <v>71</v>
      </c>
      <c r="F3" s="15" t="s">
        <v>28</v>
      </c>
      <c r="G3" s="16" t="s">
        <v>76</v>
      </c>
      <c r="H3" s="16" t="s">
        <v>77</v>
      </c>
      <c r="I3" s="15" t="s">
        <v>32</v>
      </c>
      <c r="J3" s="16" t="s">
        <v>74</v>
      </c>
      <c r="K3" s="17" t="s">
        <v>34</v>
      </c>
      <c r="L3" s="18"/>
      <c r="M3" s="18"/>
      <c r="N3" s="18"/>
      <c r="O3" s="18"/>
    </row>
    <row r="4" customFormat="false" ht="46.25" hidden="false" customHeight="false" outlineLevel="0" collapsed="false">
      <c r="A4" s="15" t="s">
        <v>78</v>
      </c>
      <c r="B4" s="15" t="s">
        <v>68</v>
      </c>
      <c r="C4" s="16" t="s">
        <v>69</v>
      </c>
      <c r="D4" s="16" t="s">
        <v>70</v>
      </c>
      <c r="E4" s="16" t="s">
        <v>71</v>
      </c>
      <c r="F4" s="15" t="s">
        <v>29</v>
      </c>
      <c r="G4" s="16" t="s">
        <v>79</v>
      </c>
      <c r="H4" s="16" t="s">
        <v>77</v>
      </c>
      <c r="I4" s="15" t="s">
        <v>33</v>
      </c>
      <c r="J4" s="16" t="s">
        <v>74</v>
      </c>
      <c r="K4" s="17" t="s">
        <v>34</v>
      </c>
      <c r="L4" s="18"/>
      <c r="M4" s="18"/>
      <c r="N4" s="18"/>
      <c r="O4" s="18"/>
    </row>
    <row r="5" customFormat="false" ht="46.25" hidden="false" customHeight="false" outlineLevel="0" collapsed="false">
      <c r="A5" s="15" t="s">
        <v>80</v>
      </c>
      <c r="B5" s="15" t="s">
        <v>68</v>
      </c>
      <c r="C5" s="16" t="s">
        <v>69</v>
      </c>
      <c r="D5" s="16" t="s">
        <v>70</v>
      </c>
      <c r="E5" s="16" t="s">
        <v>71</v>
      </c>
      <c r="F5" s="15" t="s">
        <v>29</v>
      </c>
      <c r="G5" s="16" t="s">
        <v>81</v>
      </c>
      <c r="H5" s="16" t="s">
        <v>82</v>
      </c>
      <c r="I5" s="15" t="s">
        <v>33</v>
      </c>
      <c r="J5" s="16" t="s">
        <v>74</v>
      </c>
      <c r="K5" s="17" t="s">
        <v>34</v>
      </c>
      <c r="L5" s="18"/>
      <c r="M5" s="18"/>
      <c r="N5" s="18"/>
      <c r="O5" s="18"/>
    </row>
    <row r="6" customFormat="false" ht="46.25" hidden="false" customHeight="false" outlineLevel="0" collapsed="false">
      <c r="A6" s="15" t="s">
        <v>83</v>
      </c>
      <c r="B6" s="15" t="s">
        <v>68</v>
      </c>
      <c r="C6" s="16" t="s">
        <v>69</v>
      </c>
      <c r="D6" s="16" t="s">
        <v>70</v>
      </c>
      <c r="E6" s="16" t="s">
        <v>71</v>
      </c>
      <c r="F6" s="15" t="s">
        <v>30</v>
      </c>
      <c r="G6" s="16" t="s">
        <v>84</v>
      </c>
      <c r="H6" s="16" t="s">
        <v>85</v>
      </c>
      <c r="I6" s="15" t="s">
        <v>31</v>
      </c>
      <c r="J6" s="16" t="s">
        <v>74</v>
      </c>
      <c r="K6" s="17" t="s">
        <v>34</v>
      </c>
      <c r="L6" s="18"/>
      <c r="M6" s="18"/>
      <c r="N6" s="18"/>
      <c r="O6" s="18"/>
    </row>
    <row r="7" customFormat="false" ht="46.25" hidden="false" customHeight="false" outlineLevel="0" collapsed="false">
      <c r="A7" s="15" t="s">
        <v>86</v>
      </c>
      <c r="B7" s="15" t="s">
        <v>68</v>
      </c>
      <c r="C7" s="16" t="s">
        <v>69</v>
      </c>
      <c r="D7" s="16" t="s">
        <v>70</v>
      </c>
      <c r="E7" s="16" t="s">
        <v>71</v>
      </c>
      <c r="F7" s="15" t="s">
        <v>30</v>
      </c>
      <c r="G7" s="16" t="s">
        <v>87</v>
      </c>
      <c r="H7" s="16" t="s">
        <v>88</v>
      </c>
      <c r="I7" s="15" t="s">
        <v>31</v>
      </c>
      <c r="J7" s="16" t="s">
        <v>74</v>
      </c>
      <c r="K7" s="17" t="s">
        <v>34</v>
      </c>
      <c r="L7" s="18"/>
      <c r="M7" s="18"/>
      <c r="N7" s="18"/>
      <c r="O7" s="18"/>
    </row>
    <row r="8" customFormat="false" ht="68.65" hidden="false" customHeight="false" outlineLevel="0" collapsed="false">
      <c r="A8" s="19" t="s">
        <v>89</v>
      </c>
      <c r="B8" s="19" t="s">
        <v>90</v>
      </c>
      <c r="C8" s="20" t="s">
        <v>91</v>
      </c>
      <c r="D8" s="20" t="s">
        <v>92</v>
      </c>
      <c r="E8" s="20" t="s">
        <v>93</v>
      </c>
      <c r="F8" s="19" t="s">
        <v>27</v>
      </c>
      <c r="G8" s="20" t="s">
        <v>94</v>
      </c>
      <c r="H8" s="20" t="s">
        <v>95</v>
      </c>
      <c r="I8" s="19" t="s">
        <v>31</v>
      </c>
      <c r="J8" s="20" t="s">
        <v>96</v>
      </c>
      <c r="K8" s="17" t="s">
        <v>34</v>
      </c>
      <c r="L8" s="18"/>
      <c r="M8" s="18"/>
      <c r="N8" s="18"/>
      <c r="O8" s="18"/>
    </row>
    <row r="9" customFormat="false" ht="68.65" hidden="false" customHeight="false" outlineLevel="0" collapsed="false">
      <c r="A9" s="19" t="s">
        <v>97</v>
      </c>
      <c r="B9" s="19" t="s">
        <v>90</v>
      </c>
      <c r="C9" s="20" t="s">
        <v>91</v>
      </c>
      <c r="D9" s="20" t="s">
        <v>92</v>
      </c>
      <c r="E9" s="20" t="s">
        <v>93</v>
      </c>
      <c r="F9" s="19" t="s">
        <v>27</v>
      </c>
      <c r="G9" s="20" t="s">
        <v>98</v>
      </c>
      <c r="H9" s="20" t="s">
        <v>99</v>
      </c>
      <c r="I9" s="19" t="s">
        <v>31</v>
      </c>
      <c r="J9" s="20" t="s">
        <v>96</v>
      </c>
      <c r="K9" s="17" t="s">
        <v>34</v>
      </c>
      <c r="L9" s="18"/>
      <c r="M9" s="18"/>
      <c r="N9" s="18"/>
      <c r="O9" s="18"/>
    </row>
    <row r="10" customFormat="false" ht="68.65" hidden="false" customHeight="false" outlineLevel="0" collapsed="false">
      <c r="A10" s="19" t="s">
        <v>100</v>
      </c>
      <c r="B10" s="19" t="s">
        <v>90</v>
      </c>
      <c r="C10" s="20" t="s">
        <v>91</v>
      </c>
      <c r="D10" s="20" t="s">
        <v>92</v>
      </c>
      <c r="E10" s="20" t="s">
        <v>93</v>
      </c>
      <c r="F10" s="19" t="s">
        <v>27</v>
      </c>
      <c r="G10" s="20" t="s">
        <v>101</v>
      </c>
      <c r="H10" s="20" t="s">
        <v>102</v>
      </c>
      <c r="I10" s="19" t="s">
        <v>31</v>
      </c>
      <c r="J10" s="20" t="s">
        <v>96</v>
      </c>
      <c r="K10" s="17" t="s">
        <v>34</v>
      </c>
      <c r="L10" s="18"/>
      <c r="M10" s="18"/>
      <c r="N10" s="18"/>
      <c r="O10" s="18"/>
    </row>
    <row r="11" customFormat="false" ht="68.65" hidden="false" customHeight="false" outlineLevel="0" collapsed="false">
      <c r="A11" s="19" t="s">
        <v>103</v>
      </c>
      <c r="B11" s="19" t="s">
        <v>90</v>
      </c>
      <c r="C11" s="20" t="s">
        <v>91</v>
      </c>
      <c r="D11" s="20" t="s">
        <v>92</v>
      </c>
      <c r="E11" s="20" t="s">
        <v>93</v>
      </c>
      <c r="F11" s="19" t="s">
        <v>27</v>
      </c>
      <c r="G11" s="20" t="s">
        <v>104</v>
      </c>
      <c r="H11" s="20" t="s">
        <v>105</v>
      </c>
      <c r="I11" s="19" t="s">
        <v>31</v>
      </c>
      <c r="J11" s="20" t="s">
        <v>96</v>
      </c>
      <c r="K11" s="17" t="s">
        <v>34</v>
      </c>
      <c r="L11" s="18"/>
      <c r="M11" s="18"/>
      <c r="N11" s="18"/>
      <c r="O11" s="18"/>
    </row>
    <row r="12" customFormat="false" ht="68.65" hidden="false" customHeight="false" outlineLevel="0" collapsed="false">
      <c r="A12" s="19" t="s">
        <v>106</v>
      </c>
      <c r="B12" s="19" t="s">
        <v>90</v>
      </c>
      <c r="C12" s="20" t="s">
        <v>91</v>
      </c>
      <c r="D12" s="20" t="s">
        <v>92</v>
      </c>
      <c r="E12" s="20" t="s">
        <v>93</v>
      </c>
      <c r="F12" s="19" t="s">
        <v>29</v>
      </c>
      <c r="G12" s="20" t="s">
        <v>107</v>
      </c>
      <c r="H12" s="20" t="s">
        <v>108</v>
      </c>
      <c r="I12" s="19" t="s">
        <v>33</v>
      </c>
      <c r="J12" s="20" t="s">
        <v>96</v>
      </c>
      <c r="K12" s="17" t="s">
        <v>34</v>
      </c>
      <c r="L12" s="18"/>
      <c r="M12" s="18"/>
      <c r="N12" s="18"/>
      <c r="O12" s="18"/>
    </row>
    <row r="13" customFormat="false" ht="68.65" hidden="false" customHeight="false" outlineLevel="0" collapsed="false">
      <c r="A13" s="19" t="s">
        <v>109</v>
      </c>
      <c r="B13" s="19" t="s">
        <v>90</v>
      </c>
      <c r="C13" s="20" t="s">
        <v>91</v>
      </c>
      <c r="D13" s="20" t="s">
        <v>92</v>
      </c>
      <c r="E13" s="20" t="s">
        <v>93</v>
      </c>
      <c r="F13" s="19" t="s">
        <v>29</v>
      </c>
      <c r="G13" s="20" t="s">
        <v>110</v>
      </c>
      <c r="H13" s="20" t="s">
        <v>111</v>
      </c>
      <c r="I13" s="19" t="s">
        <v>33</v>
      </c>
      <c r="J13" s="20" t="s">
        <v>96</v>
      </c>
      <c r="K13" s="17" t="s">
        <v>34</v>
      </c>
      <c r="L13" s="18"/>
      <c r="M13" s="18"/>
      <c r="N13" s="18"/>
      <c r="O13" s="18"/>
    </row>
    <row r="14" customFormat="false" ht="68.65" hidden="false" customHeight="false" outlineLevel="0" collapsed="false">
      <c r="A14" s="19" t="s">
        <v>112</v>
      </c>
      <c r="B14" s="19" t="s">
        <v>90</v>
      </c>
      <c r="C14" s="20" t="s">
        <v>91</v>
      </c>
      <c r="D14" s="20" t="s">
        <v>92</v>
      </c>
      <c r="E14" s="20" t="s">
        <v>93</v>
      </c>
      <c r="F14" s="19" t="s">
        <v>29</v>
      </c>
      <c r="G14" s="20" t="s">
        <v>113</v>
      </c>
      <c r="H14" s="20" t="s">
        <v>114</v>
      </c>
      <c r="I14" s="19" t="s">
        <v>33</v>
      </c>
      <c r="J14" s="20" t="s">
        <v>96</v>
      </c>
      <c r="K14" s="17" t="s">
        <v>34</v>
      </c>
      <c r="L14" s="18"/>
      <c r="M14" s="18"/>
      <c r="N14" s="18"/>
      <c r="O14" s="18"/>
    </row>
    <row r="15" customFormat="false" ht="68.65" hidden="false" customHeight="false" outlineLevel="0" collapsed="false">
      <c r="A15" s="19" t="s">
        <v>115</v>
      </c>
      <c r="B15" s="19" t="s">
        <v>90</v>
      </c>
      <c r="C15" s="20" t="s">
        <v>91</v>
      </c>
      <c r="D15" s="20" t="s">
        <v>92</v>
      </c>
      <c r="E15" s="20" t="s">
        <v>93</v>
      </c>
      <c r="F15" s="19" t="s">
        <v>29</v>
      </c>
      <c r="G15" s="20" t="s">
        <v>116</v>
      </c>
      <c r="H15" s="20" t="s">
        <v>117</v>
      </c>
      <c r="I15" s="19" t="s">
        <v>33</v>
      </c>
      <c r="J15" s="20" t="s">
        <v>96</v>
      </c>
      <c r="K15" s="17" t="s">
        <v>34</v>
      </c>
      <c r="L15" s="18"/>
      <c r="M15" s="18"/>
      <c r="N15" s="18"/>
      <c r="O15" s="18"/>
    </row>
    <row r="16" customFormat="false" ht="68.65" hidden="false" customHeight="false" outlineLevel="0" collapsed="false">
      <c r="A16" s="19" t="s">
        <v>118</v>
      </c>
      <c r="B16" s="19" t="s">
        <v>90</v>
      </c>
      <c r="C16" s="20" t="s">
        <v>91</v>
      </c>
      <c r="D16" s="20" t="s">
        <v>92</v>
      </c>
      <c r="E16" s="20" t="s">
        <v>93</v>
      </c>
      <c r="F16" s="19" t="s">
        <v>29</v>
      </c>
      <c r="G16" s="20" t="s">
        <v>119</v>
      </c>
      <c r="H16" s="20" t="s">
        <v>120</v>
      </c>
      <c r="I16" s="19" t="s">
        <v>33</v>
      </c>
      <c r="J16" s="20" t="s">
        <v>96</v>
      </c>
      <c r="K16" s="17" t="s">
        <v>34</v>
      </c>
      <c r="L16" s="18"/>
      <c r="M16" s="18"/>
      <c r="N16" s="18"/>
      <c r="O16" s="18"/>
    </row>
    <row r="17" customFormat="false" ht="68.65" hidden="false" customHeight="false" outlineLevel="0" collapsed="false">
      <c r="A17" s="19" t="s">
        <v>121</v>
      </c>
      <c r="B17" s="19" t="s">
        <v>90</v>
      </c>
      <c r="C17" s="20" t="s">
        <v>91</v>
      </c>
      <c r="D17" s="20" t="s">
        <v>92</v>
      </c>
      <c r="E17" s="20" t="s">
        <v>93</v>
      </c>
      <c r="F17" s="19" t="s">
        <v>28</v>
      </c>
      <c r="G17" s="20" t="s">
        <v>122</v>
      </c>
      <c r="H17" s="20" t="s">
        <v>123</v>
      </c>
      <c r="I17" s="19" t="s">
        <v>32</v>
      </c>
      <c r="J17" s="20" t="s">
        <v>96</v>
      </c>
      <c r="K17" s="17" t="s">
        <v>34</v>
      </c>
      <c r="L17" s="18"/>
      <c r="M17" s="18"/>
      <c r="N17" s="18"/>
      <c r="O17" s="18"/>
    </row>
    <row r="18" customFormat="false" ht="68.65" hidden="false" customHeight="false" outlineLevel="0" collapsed="false">
      <c r="A18" s="19" t="s">
        <v>124</v>
      </c>
      <c r="B18" s="19" t="s">
        <v>90</v>
      </c>
      <c r="C18" s="20" t="s">
        <v>91</v>
      </c>
      <c r="D18" s="20" t="s">
        <v>92</v>
      </c>
      <c r="E18" s="20" t="s">
        <v>93</v>
      </c>
      <c r="F18" s="19" t="s">
        <v>28</v>
      </c>
      <c r="G18" s="20" t="s">
        <v>125</v>
      </c>
      <c r="H18" s="20" t="s">
        <v>126</v>
      </c>
      <c r="I18" s="19" t="s">
        <v>32</v>
      </c>
      <c r="J18" s="20" t="s">
        <v>96</v>
      </c>
      <c r="K18" s="17" t="s">
        <v>34</v>
      </c>
      <c r="L18" s="18"/>
      <c r="M18" s="18"/>
      <c r="N18" s="18"/>
      <c r="O18" s="18"/>
    </row>
    <row r="19" customFormat="false" ht="68.65" hidden="false" customHeight="false" outlineLevel="0" collapsed="false">
      <c r="A19" s="19" t="s">
        <v>127</v>
      </c>
      <c r="B19" s="19" t="s">
        <v>90</v>
      </c>
      <c r="C19" s="20" t="s">
        <v>91</v>
      </c>
      <c r="D19" s="20" t="s">
        <v>92</v>
      </c>
      <c r="E19" s="20" t="s">
        <v>93</v>
      </c>
      <c r="F19" s="19" t="s">
        <v>28</v>
      </c>
      <c r="G19" s="20" t="s">
        <v>128</v>
      </c>
      <c r="H19" s="20" t="s">
        <v>129</v>
      </c>
      <c r="I19" s="19" t="s">
        <v>32</v>
      </c>
      <c r="J19" s="20" t="s">
        <v>96</v>
      </c>
      <c r="K19" s="17" t="s">
        <v>34</v>
      </c>
      <c r="L19" s="18"/>
      <c r="M19" s="18"/>
      <c r="N19" s="18"/>
      <c r="O19" s="18"/>
    </row>
    <row r="20" customFormat="false" ht="46.25" hidden="false" customHeight="false" outlineLevel="0" collapsed="false">
      <c r="A20" s="15" t="s">
        <v>130</v>
      </c>
      <c r="B20" s="15" t="s">
        <v>131</v>
      </c>
      <c r="C20" s="16" t="s">
        <v>132</v>
      </c>
      <c r="D20" s="16" t="s">
        <v>92</v>
      </c>
      <c r="E20" s="16" t="s">
        <v>133</v>
      </c>
      <c r="F20" s="15" t="s">
        <v>27</v>
      </c>
      <c r="G20" s="16" t="s">
        <v>134</v>
      </c>
      <c r="H20" s="16" t="s">
        <v>135</v>
      </c>
      <c r="I20" s="15" t="s">
        <v>31</v>
      </c>
      <c r="J20" s="16" t="s">
        <v>136</v>
      </c>
      <c r="K20" s="17" t="s">
        <v>34</v>
      </c>
      <c r="L20" s="18"/>
      <c r="M20" s="18"/>
      <c r="N20" s="18"/>
      <c r="O20" s="18"/>
    </row>
    <row r="21" customFormat="false" ht="46.25" hidden="false" customHeight="false" outlineLevel="0" collapsed="false">
      <c r="A21" s="15" t="s">
        <v>137</v>
      </c>
      <c r="B21" s="15" t="s">
        <v>131</v>
      </c>
      <c r="C21" s="16" t="s">
        <v>132</v>
      </c>
      <c r="D21" s="16" t="s">
        <v>92</v>
      </c>
      <c r="E21" s="16" t="s">
        <v>133</v>
      </c>
      <c r="F21" s="15" t="s">
        <v>28</v>
      </c>
      <c r="G21" s="16" t="s">
        <v>138</v>
      </c>
      <c r="H21" s="16" t="s">
        <v>139</v>
      </c>
      <c r="I21" s="15" t="s">
        <v>32</v>
      </c>
      <c r="J21" s="16" t="s">
        <v>136</v>
      </c>
      <c r="K21" s="17" t="s">
        <v>34</v>
      </c>
      <c r="L21" s="18"/>
      <c r="M21" s="18"/>
      <c r="N21" s="18"/>
      <c r="O21" s="18"/>
    </row>
    <row r="22" customFormat="false" ht="46.25" hidden="false" customHeight="false" outlineLevel="0" collapsed="false">
      <c r="A22" s="15" t="s">
        <v>140</v>
      </c>
      <c r="B22" s="15" t="s">
        <v>131</v>
      </c>
      <c r="C22" s="16" t="s">
        <v>132</v>
      </c>
      <c r="D22" s="16" t="s">
        <v>92</v>
      </c>
      <c r="E22" s="16" t="s">
        <v>133</v>
      </c>
      <c r="F22" s="15" t="s">
        <v>28</v>
      </c>
      <c r="G22" s="16" t="s">
        <v>141</v>
      </c>
      <c r="H22" s="16" t="s">
        <v>142</v>
      </c>
      <c r="I22" s="15" t="s">
        <v>32</v>
      </c>
      <c r="J22" s="16" t="s">
        <v>136</v>
      </c>
      <c r="K22" s="17" t="s">
        <v>34</v>
      </c>
      <c r="L22" s="18"/>
      <c r="M22" s="18"/>
      <c r="N22" s="18"/>
      <c r="O22" s="18"/>
    </row>
    <row r="23" customFormat="false" ht="46.25" hidden="false" customHeight="false" outlineLevel="0" collapsed="false">
      <c r="A23" s="15" t="s">
        <v>143</v>
      </c>
      <c r="B23" s="15" t="s">
        <v>131</v>
      </c>
      <c r="C23" s="16" t="s">
        <v>132</v>
      </c>
      <c r="D23" s="16" t="s">
        <v>92</v>
      </c>
      <c r="E23" s="16" t="s">
        <v>133</v>
      </c>
      <c r="F23" s="15" t="s">
        <v>28</v>
      </c>
      <c r="G23" s="16" t="s">
        <v>144</v>
      </c>
      <c r="H23" s="16" t="s">
        <v>145</v>
      </c>
      <c r="I23" s="15" t="s">
        <v>32</v>
      </c>
      <c r="J23" s="16" t="s">
        <v>136</v>
      </c>
      <c r="K23" s="17" t="s">
        <v>34</v>
      </c>
      <c r="L23" s="18"/>
      <c r="M23" s="18"/>
      <c r="N23" s="18"/>
      <c r="O23" s="18"/>
    </row>
    <row r="24" customFormat="false" ht="46.25" hidden="false" customHeight="false" outlineLevel="0" collapsed="false">
      <c r="A24" s="15" t="s">
        <v>146</v>
      </c>
      <c r="B24" s="15" t="s">
        <v>131</v>
      </c>
      <c r="C24" s="16" t="s">
        <v>132</v>
      </c>
      <c r="D24" s="16" t="s">
        <v>92</v>
      </c>
      <c r="E24" s="16" t="s">
        <v>133</v>
      </c>
      <c r="F24" s="15" t="s">
        <v>28</v>
      </c>
      <c r="G24" s="16" t="s">
        <v>147</v>
      </c>
      <c r="H24" s="16" t="s">
        <v>148</v>
      </c>
      <c r="I24" s="15" t="s">
        <v>32</v>
      </c>
      <c r="J24" s="16" t="s">
        <v>136</v>
      </c>
      <c r="K24" s="17" t="s">
        <v>34</v>
      </c>
      <c r="L24" s="18"/>
      <c r="M24" s="18"/>
      <c r="N24" s="18"/>
      <c r="O24" s="18"/>
    </row>
    <row r="25" customFormat="false" ht="46.25" hidden="false" customHeight="false" outlineLevel="0" collapsed="false">
      <c r="A25" s="15" t="s">
        <v>149</v>
      </c>
      <c r="B25" s="15" t="s">
        <v>131</v>
      </c>
      <c r="C25" s="16" t="s">
        <v>132</v>
      </c>
      <c r="D25" s="16" t="s">
        <v>92</v>
      </c>
      <c r="E25" s="16" t="s">
        <v>133</v>
      </c>
      <c r="F25" s="15" t="s">
        <v>28</v>
      </c>
      <c r="G25" s="16" t="s">
        <v>150</v>
      </c>
      <c r="H25" s="16" t="s">
        <v>151</v>
      </c>
      <c r="I25" s="15" t="s">
        <v>32</v>
      </c>
      <c r="J25" s="16" t="s">
        <v>136</v>
      </c>
      <c r="K25" s="17" t="s">
        <v>34</v>
      </c>
      <c r="L25" s="18"/>
      <c r="M25" s="18"/>
      <c r="N25" s="18"/>
      <c r="O25" s="18"/>
    </row>
    <row r="26" customFormat="false" ht="46.25" hidden="false" customHeight="false" outlineLevel="0" collapsed="false">
      <c r="A26" s="15" t="s">
        <v>152</v>
      </c>
      <c r="B26" s="15" t="s">
        <v>131</v>
      </c>
      <c r="C26" s="16" t="s">
        <v>132</v>
      </c>
      <c r="D26" s="16" t="s">
        <v>92</v>
      </c>
      <c r="E26" s="16" t="s">
        <v>133</v>
      </c>
      <c r="F26" s="15" t="s">
        <v>29</v>
      </c>
      <c r="G26" s="16" t="s">
        <v>153</v>
      </c>
      <c r="H26" s="16" t="s">
        <v>154</v>
      </c>
      <c r="I26" s="15" t="s">
        <v>33</v>
      </c>
      <c r="J26" s="16" t="s">
        <v>136</v>
      </c>
      <c r="K26" s="17" t="s">
        <v>34</v>
      </c>
      <c r="L26" s="18"/>
      <c r="M26" s="18"/>
      <c r="N26" s="18"/>
      <c r="O26" s="18"/>
    </row>
    <row r="27" customFormat="false" ht="46.25" hidden="false" customHeight="false" outlineLevel="0" collapsed="false">
      <c r="A27" s="15" t="s">
        <v>155</v>
      </c>
      <c r="B27" s="15" t="s">
        <v>131</v>
      </c>
      <c r="C27" s="16" t="s">
        <v>132</v>
      </c>
      <c r="D27" s="16" t="s">
        <v>92</v>
      </c>
      <c r="E27" s="16" t="s">
        <v>133</v>
      </c>
      <c r="F27" s="15" t="s">
        <v>29</v>
      </c>
      <c r="G27" s="16" t="s">
        <v>156</v>
      </c>
      <c r="H27" s="16" t="s">
        <v>157</v>
      </c>
      <c r="I27" s="15" t="s">
        <v>33</v>
      </c>
      <c r="J27" s="16" t="s">
        <v>136</v>
      </c>
      <c r="K27" s="17" t="s">
        <v>34</v>
      </c>
      <c r="L27" s="18"/>
      <c r="M27" s="18"/>
      <c r="N27" s="18"/>
      <c r="O27" s="18"/>
    </row>
    <row r="28" customFormat="false" ht="46.25" hidden="false" customHeight="false" outlineLevel="0" collapsed="false">
      <c r="A28" s="15" t="s">
        <v>158</v>
      </c>
      <c r="B28" s="15" t="s">
        <v>131</v>
      </c>
      <c r="C28" s="16" t="s">
        <v>132</v>
      </c>
      <c r="D28" s="16" t="s">
        <v>92</v>
      </c>
      <c r="E28" s="16" t="s">
        <v>133</v>
      </c>
      <c r="F28" s="15" t="s">
        <v>30</v>
      </c>
      <c r="G28" s="16" t="s">
        <v>159</v>
      </c>
      <c r="H28" s="16" t="s">
        <v>160</v>
      </c>
      <c r="I28" s="15" t="s">
        <v>31</v>
      </c>
      <c r="J28" s="16" t="s">
        <v>136</v>
      </c>
      <c r="K28" s="17" t="s">
        <v>34</v>
      </c>
      <c r="L28" s="18"/>
      <c r="M28" s="18"/>
      <c r="N28" s="18"/>
      <c r="O28" s="18"/>
    </row>
    <row r="29" customFormat="false" ht="35.05" hidden="false" customHeight="false" outlineLevel="0" collapsed="false">
      <c r="A29" s="19" t="s">
        <v>161</v>
      </c>
      <c r="B29" s="19" t="s">
        <v>162</v>
      </c>
      <c r="C29" s="20" t="s">
        <v>163</v>
      </c>
      <c r="D29" s="20" t="s">
        <v>92</v>
      </c>
      <c r="E29" s="20" t="s">
        <v>164</v>
      </c>
      <c r="F29" s="19" t="s">
        <v>27</v>
      </c>
      <c r="G29" s="20" t="s">
        <v>165</v>
      </c>
      <c r="H29" s="20" t="s">
        <v>166</v>
      </c>
      <c r="I29" s="19" t="s">
        <v>31</v>
      </c>
      <c r="J29" s="20" t="s">
        <v>167</v>
      </c>
      <c r="K29" s="17" t="s">
        <v>34</v>
      </c>
      <c r="L29" s="18"/>
      <c r="M29" s="18"/>
      <c r="N29" s="18"/>
      <c r="O29" s="18"/>
    </row>
    <row r="30" customFormat="false" ht="35.05" hidden="false" customHeight="false" outlineLevel="0" collapsed="false">
      <c r="A30" s="19" t="s">
        <v>168</v>
      </c>
      <c r="B30" s="19" t="s">
        <v>162</v>
      </c>
      <c r="C30" s="20" t="s">
        <v>163</v>
      </c>
      <c r="D30" s="20" t="s">
        <v>92</v>
      </c>
      <c r="E30" s="20" t="s">
        <v>164</v>
      </c>
      <c r="F30" s="19" t="s">
        <v>27</v>
      </c>
      <c r="G30" s="20" t="s">
        <v>169</v>
      </c>
      <c r="H30" s="20" t="s">
        <v>170</v>
      </c>
      <c r="I30" s="19" t="s">
        <v>32</v>
      </c>
      <c r="J30" s="20" t="s">
        <v>167</v>
      </c>
      <c r="K30" s="17" t="s">
        <v>34</v>
      </c>
      <c r="L30" s="18"/>
      <c r="M30" s="18"/>
      <c r="N30" s="18"/>
      <c r="O30" s="18"/>
    </row>
    <row r="31" customFormat="false" ht="35.05" hidden="false" customHeight="false" outlineLevel="0" collapsed="false">
      <c r="A31" s="19" t="s">
        <v>171</v>
      </c>
      <c r="B31" s="19" t="s">
        <v>162</v>
      </c>
      <c r="C31" s="20" t="s">
        <v>163</v>
      </c>
      <c r="D31" s="20" t="s">
        <v>92</v>
      </c>
      <c r="E31" s="20" t="s">
        <v>164</v>
      </c>
      <c r="F31" s="19" t="s">
        <v>29</v>
      </c>
      <c r="G31" s="20" t="s">
        <v>172</v>
      </c>
      <c r="H31" s="20" t="s">
        <v>173</v>
      </c>
      <c r="I31" s="19" t="s">
        <v>33</v>
      </c>
      <c r="J31" s="20" t="s">
        <v>167</v>
      </c>
      <c r="K31" s="17" t="s">
        <v>34</v>
      </c>
      <c r="L31" s="18"/>
      <c r="M31" s="18"/>
      <c r="N31" s="18"/>
      <c r="O31" s="18"/>
    </row>
    <row r="32" customFormat="false" ht="35.05" hidden="false" customHeight="false" outlineLevel="0" collapsed="false">
      <c r="A32" s="19" t="s">
        <v>174</v>
      </c>
      <c r="B32" s="19" t="s">
        <v>162</v>
      </c>
      <c r="C32" s="20" t="s">
        <v>163</v>
      </c>
      <c r="D32" s="20" t="s">
        <v>92</v>
      </c>
      <c r="E32" s="20" t="s">
        <v>164</v>
      </c>
      <c r="F32" s="19" t="s">
        <v>29</v>
      </c>
      <c r="G32" s="20" t="s">
        <v>175</v>
      </c>
      <c r="H32" s="20" t="s">
        <v>176</v>
      </c>
      <c r="I32" s="19" t="s">
        <v>33</v>
      </c>
      <c r="J32" s="20" t="s">
        <v>167</v>
      </c>
      <c r="K32" s="17" t="s">
        <v>34</v>
      </c>
      <c r="L32" s="18"/>
      <c r="M32" s="18"/>
      <c r="N32" s="18"/>
      <c r="O32" s="18"/>
    </row>
    <row r="33" customFormat="false" ht="35.05" hidden="false" customHeight="false" outlineLevel="0" collapsed="false">
      <c r="A33" s="19" t="s">
        <v>177</v>
      </c>
      <c r="B33" s="19" t="s">
        <v>162</v>
      </c>
      <c r="C33" s="20" t="s">
        <v>163</v>
      </c>
      <c r="D33" s="20" t="s">
        <v>92</v>
      </c>
      <c r="E33" s="20" t="s">
        <v>164</v>
      </c>
      <c r="F33" s="19" t="s">
        <v>29</v>
      </c>
      <c r="G33" s="20" t="s">
        <v>178</v>
      </c>
      <c r="H33" s="20" t="s">
        <v>179</v>
      </c>
      <c r="I33" s="19" t="s">
        <v>33</v>
      </c>
      <c r="J33" s="20" t="s">
        <v>167</v>
      </c>
      <c r="K33" s="17" t="s">
        <v>34</v>
      </c>
      <c r="L33" s="18"/>
      <c r="M33" s="18"/>
      <c r="N33" s="18"/>
      <c r="O33" s="18"/>
    </row>
    <row r="34" customFormat="false" ht="35.05" hidden="false" customHeight="false" outlineLevel="0" collapsed="false">
      <c r="A34" s="19" t="s">
        <v>180</v>
      </c>
      <c r="B34" s="19" t="s">
        <v>162</v>
      </c>
      <c r="C34" s="20" t="s">
        <v>163</v>
      </c>
      <c r="D34" s="20" t="s">
        <v>92</v>
      </c>
      <c r="E34" s="20" t="s">
        <v>164</v>
      </c>
      <c r="F34" s="19" t="s">
        <v>28</v>
      </c>
      <c r="G34" s="20" t="s">
        <v>181</v>
      </c>
      <c r="H34" s="20" t="s">
        <v>182</v>
      </c>
      <c r="I34" s="19" t="s">
        <v>32</v>
      </c>
      <c r="J34" s="20" t="s">
        <v>167</v>
      </c>
      <c r="K34" s="17" t="s">
        <v>34</v>
      </c>
      <c r="L34" s="18"/>
      <c r="M34" s="18"/>
      <c r="N34" s="18"/>
      <c r="O34" s="18"/>
    </row>
    <row r="35" customFormat="false" ht="35.05" hidden="false" customHeight="false" outlineLevel="0" collapsed="false">
      <c r="A35" s="19" t="s">
        <v>183</v>
      </c>
      <c r="B35" s="19" t="s">
        <v>162</v>
      </c>
      <c r="C35" s="20" t="s">
        <v>163</v>
      </c>
      <c r="D35" s="20" t="s">
        <v>92</v>
      </c>
      <c r="E35" s="20" t="s">
        <v>164</v>
      </c>
      <c r="F35" s="19" t="s">
        <v>28</v>
      </c>
      <c r="G35" s="20" t="s">
        <v>184</v>
      </c>
      <c r="H35" s="20" t="s">
        <v>185</v>
      </c>
      <c r="I35" s="19" t="s">
        <v>32</v>
      </c>
      <c r="J35" s="20" t="s">
        <v>167</v>
      </c>
      <c r="K35" s="17" t="s">
        <v>34</v>
      </c>
      <c r="L35" s="18"/>
      <c r="M35" s="18"/>
      <c r="N35" s="18"/>
      <c r="O35" s="18"/>
    </row>
    <row r="36" customFormat="false" ht="35.05" hidden="false" customHeight="false" outlineLevel="0" collapsed="false">
      <c r="A36" s="19" t="s">
        <v>186</v>
      </c>
      <c r="B36" s="19" t="s">
        <v>162</v>
      </c>
      <c r="C36" s="20" t="s">
        <v>163</v>
      </c>
      <c r="D36" s="20" t="s">
        <v>92</v>
      </c>
      <c r="E36" s="20" t="s">
        <v>164</v>
      </c>
      <c r="F36" s="19" t="s">
        <v>28</v>
      </c>
      <c r="G36" s="20" t="s">
        <v>187</v>
      </c>
      <c r="H36" s="20" t="s">
        <v>188</v>
      </c>
      <c r="I36" s="19" t="s">
        <v>32</v>
      </c>
      <c r="J36" s="20" t="s">
        <v>167</v>
      </c>
      <c r="K36" s="17" t="s">
        <v>34</v>
      </c>
      <c r="L36" s="18"/>
      <c r="M36" s="18"/>
      <c r="N36" s="18"/>
      <c r="O36" s="18"/>
    </row>
    <row r="37" customFormat="false" ht="23.85" hidden="false" customHeight="false" outlineLevel="0" collapsed="false">
      <c r="A37" s="15" t="s">
        <v>189</v>
      </c>
      <c r="B37" s="15" t="s">
        <v>190</v>
      </c>
      <c r="C37" s="16" t="s">
        <v>191</v>
      </c>
      <c r="D37" s="16" t="s">
        <v>92</v>
      </c>
      <c r="E37" s="16" t="s">
        <v>192</v>
      </c>
      <c r="F37" s="15" t="s">
        <v>27</v>
      </c>
      <c r="G37" s="16" t="s">
        <v>193</v>
      </c>
      <c r="H37" s="16" t="s">
        <v>194</v>
      </c>
      <c r="I37" s="15" t="s">
        <v>31</v>
      </c>
      <c r="J37" s="16" t="s">
        <v>195</v>
      </c>
      <c r="K37" s="17" t="s">
        <v>34</v>
      </c>
      <c r="L37" s="18"/>
      <c r="M37" s="18"/>
      <c r="N37" s="18"/>
      <c r="O37" s="18"/>
    </row>
    <row r="38" customFormat="false" ht="23.85" hidden="false" customHeight="false" outlineLevel="0" collapsed="false">
      <c r="A38" s="15" t="s">
        <v>196</v>
      </c>
      <c r="B38" s="15" t="s">
        <v>190</v>
      </c>
      <c r="C38" s="16" t="s">
        <v>191</v>
      </c>
      <c r="D38" s="16" t="s">
        <v>92</v>
      </c>
      <c r="E38" s="16" t="s">
        <v>192</v>
      </c>
      <c r="F38" s="15" t="s">
        <v>27</v>
      </c>
      <c r="G38" s="16" t="s">
        <v>197</v>
      </c>
      <c r="H38" s="16" t="s">
        <v>198</v>
      </c>
      <c r="I38" s="15" t="s">
        <v>31</v>
      </c>
      <c r="J38" s="16" t="s">
        <v>195</v>
      </c>
      <c r="K38" s="17" t="s">
        <v>34</v>
      </c>
      <c r="L38" s="18"/>
      <c r="M38" s="18"/>
      <c r="N38" s="18"/>
      <c r="O38" s="18"/>
    </row>
    <row r="39" customFormat="false" ht="35.05" hidden="false" customHeight="false" outlineLevel="0" collapsed="false">
      <c r="A39" s="15" t="s">
        <v>199</v>
      </c>
      <c r="B39" s="15" t="s">
        <v>190</v>
      </c>
      <c r="C39" s="16" t="s">
        <v>191</v>
      </c>
      <c r="D39" s="16" t="s">
        <v>92</v>
      </c>
      <c r="E39" s="16" t="s">
        <v>192</v>
      </c>
      <c r="F39" s="15" t="s">
        <v>28</v>
      </c>
      <c r="G39" s="16" t="s">
        <v>200</v>
      </c>
      <c r="H39" s="16" t="s">
        <v>201</v>
      </c>
      <c r="I39" s="15" t="s">
        <v>32</v>
      </c>
      <c r="J39" s="16" t="s">
        <v>195</v>
      </c>
      <c r="K39" s="17" t="s">
        <v>34</v>
      </c>
      <c r="L39" s="18"/>
      <c r="M39" s="18"/>
      <c r="N39" s="18"/>
      <c r="O39" s="18"/>
    </row>
    <row r="40" customFormat="false" ht="23.85" hidden="false" customHeight="false" outlineLevel="0" collapsed="false">
      <c r="A40" s="15" t="s">
        <v>202</v>
      </c>
      <c r="B40" s="15" t="s">
        <v>190</v>
      </c>
      <c r="C40" s="16" t="s">
        <v>191</v>
      </c>
      <c r="D40" s="16" t="s">
        <v>92</v>
      </c>
      <c r="E40" s="16" t="s">
        <v>192</v>
      </c>
      <c r="F40" s="15" t="s">
        <v>29</v>
      </c>
      <c r="G40" s="16" t="s">
        <v>203</v>
      </c>
      <c r="H40" s="16" t="s">
        <v>204</v>
      </c>
      <c r="I40" s="15" t="s">
        <v>33</v>
      </c>
      <c r="J40" s="16" t="s">
        <v>195</v>
      </c>
      <c r="K40" s="17" t="s">
        <v>34</v>
      </c>
      <c r="L40" s="18"/>
      <c r="M40" s="18"/>
      <c r="N40" s="18"/>
      <c r="O40" s="18"/>
    </row>
    <row r="41" customFormat="false" ht="23.85" hidden="false" customHeight="false" outlineLevel="0" collapsed="false">
      <c r="A41" s="15" t="s">
        <v>205</v>
      </c>
      <c r="B41" s="15" t="s">
        <v>190</v>
      </c>
      <c r="C41" s="16" t="s">
        <v>191</v>
      </c>
      <c r="D41" s="16" t="s">
        <v>92</v>
      </c>
      <c r="E41" s="16" t="s">
        <v>192</v>
      </c>
      <c r="F41" s="15" t="s">
        <v>29</v>
      </c>
      <c r="G41" s="16" t="s">
        <v>206</v>
      </c>
      <c r="H41" s="16" t="s">
        <v>207</v>
      </c>
      <c r="I41" s="15" t="s">
        <v>33</v>
      </c>
      <c r="J41" s="16" t="s">
        <v>195</v>
      </c>
      <c r="K41" s="17" t="s">
        <v>34</v>
      </c>
      <c r="L41" s="18"/>
      <c r="M41" s="18"/>
      <c r="N41" s="18"/>
      <c r="O41" s="18"/>
    </row>
    <row r="42" customFormat="false" ht="23.85" hidden="false" customHeight="false" outlineLevel="0" collapsed="false">
      <c r="A42" s="15" t="s">
        <v>208</v>
      </c>
      <c r="B42" s="15" t="s">
        <v>190</v>
      </c>
      <c r="C42" s="16" t="s">
        <v>191</v>
      </c>
      <c r="D42" s="16" t="s">
        <v>92</v>
      </c>
      <c r="E42" s="16" t="s">
        <v>192</v>
      </c>
      <c r="F42" s="15" t="s">
        <v>30</v>
      </c>
      <c r="G42" s="16" t="s">
        <v>209</v>
      </c>
      <c r="H42" s="16" t="s">
        <v>210</v>
      </c>
      <c r="I42" s="15" t="s">
        <v>31</v>
      </c>
      <c r="J42" s="16" t="s">
        <v>195</v>
      </c>
      <c r="K42" s="17" t="s">
        <v>34</v>
      </c>
      <c r="L42" s="18"/>
      <c r="M42" s="18"/>
      <c r="N42" s="18"/>
      <c r="O42" s="18"/>
    </row>
    <row r="43" customFormat="false" ht="35.05" hidden="false" customHeight="false" outlineLevel="0" collapsed="false">
      <c r="A43" s="19" t="s">
        <v>211</v>
      </c>
      <c r="B43" s="19" t="s">
        <v>212</v>
      </c>
      <c r="C43" s="20" t="s">
        <v>213</v>
      </c>
      <c r="D43" s="20" t="s">
        <v>92</v>
      </c>
      <c r="E43" s="20" t="s">
        <v>214</v>
      </c>
      <c r="F43" s="19" t="s">
        <v>27</v>
      </c>
      <c r="G43" s="20" t="s">
        <v>215</v>
      </c>
      <c r="H43" s="20" t="s">
        <v>216</v>
      </c>
      <c r="I43" s="19" t="s">
        <v>31</v>
      </c>
      <c r="J43" s="20" t="s">
        <v>217</v>
      </c>
      <c r="K43" s="17" t="s">
        <v>34</v>
      </c>
      <c r="L43" s="18"/>
      <c r="M43" s="18"/>
      <c r="N43" s="18"/>
      <c r="O43" s="18"/>
    </row>
    <row r="44" customFormat="false" ht="23.85" hidden="false" customHeight="false" outlineLevel="0" collapsed="false">
      <c r="A44" s="19" t="s">
        <v>218</v>
      </c>
      <c r="B44" s="19" t="s">
        <v>212</v>
      </c>
      <c r="C44" s="20" t="s">
        <v>213</v>
      </c>
      <c r="D44" s="20" t="s">
        <v>92</v>
      </c>
      <c r="E44" s="20" t="s">
        <v>214</v>
      </c>
      <c r="F44" s="19" t="s">
        <v>27</v>
      </c>
      <c r="G44" s="20" t="s">
        <v>219</v>
      </c>
      <c r="H44" s="20" t="s">
        <v>220</v>
      </c>
      <c r="I44" s="19" t="s">
        <v>31</v>
      </c>
      <c r="J44" s="20" t="s">
        <v>217</v>
      </c>
      <c r="K44" s="17" t="s">
        <v>34</v>
      </c>
      <c r="L44" s="18"/>
      <c r="M44" s="18"/>
      <c r="N44" s="18"/>
      <c r="O44" s="18"/>
    </row>
    <row r="45" customFormat="false" ht="23.85" hidden="false" customHeight="false" outlineLevel="0" collapsed="false">
      <c r="A45" s="19" t="s">
        <v>221</v>
      </c>
      <c r="B45" s="19" t="s">
        <v>212</v>
      </c>
      <c r="C45" s="20" t="s">
        <v>213</v>
      </c>
      <c r="D45" s="20" t="s">
        <v>92</v>
      </c>
      <c r="E45" s="20" t="s">
        <v>214</v>
      </c>
      <c r="F45" s="19" t="s">
        <v>27</v>
      </c>
      <c r="G45" s="20" t="s">
        <v>222</v>
      </c>
      <c r="H45" s="20" t="s">
        <v>223</v>
      </c>
      <c r="I45" s="19" t="s">
        <v>31</v>
      </c>
      <c r="J45" s="20" t="s">
        <v>217</v>
      </c>
      <c r="K45" s="17" t="s">
        <v>34</v>
      </c>
      <c r="L45" s="18"/>
      <c r="M45" s="18"/>
      <c r="N45" s="18"/>
      <c r="O45" s="18"/>
    </row>
    <row r="46" customFormat="false" ht="23.85" hidden="false" customHeight="false" outlineLevel="0" collapsed="false">
      <c r="A46" s="19" t="s">
        <v>224</v>
      </c>
      <c r="B46" s="19" t="s">
        <v>212</v>
      </c>
      <c r="C46" s="20" t="s">
        <v>213</v>
      </c>
      <c r="D46" s="20" t="s">
        <v>92</v>
      </c>
      <c r="E46" s="20" t="s">
        <v>214</v>
      </c>
      <c r="F46" s="19" t="s">
        <v>27</v>
      </c>
      <c r="G46" s="20" t="s">
        <v>225</v>
      </c>
      <c r="H46" s="20" t="s">
        <v>226</v>
      </c>
      <c r="I46" s="19" t="s">
        <v>31</v>
      </c>
      <c r="J46" s="20" t="s">
        <v>217</v>
      </c>
      <c r="K46" s="17" t="s">
        <v>34</v>
      </c>
      <c r="L46" s="18"/>
      <c r="M46" s="18"/>
      <c r="N46" s="18"/>
      <c r="O46" s="18"/>
    </row>
    <row r="47" customFormat="false" ht="23.85" hidden="false" customHeight="false" outlineLevel="0" collapsed="false">
      <c r="A47" s="19" t="s">
        <v>227</v>
      </c>
      <c r="B47" s="19" t="s">
        <v>212</v>
      </c>
      <c r="C47" s="20" t="s">
        <v>213</v>
      </c>
      <c r="D47" s="20" t="s">
        <v>92</v>
      </c>
      <c r="E47" s="20" t="s">
        <v>214</v>
      </c>
      <c r="F47" s="19" t="s">
        <v>29</v>
      </c>
      <c r="G47" s="20" t="s">
        <v>228</v>
      </c>
      <c r="H47" s="20" t="s">
        <v>229</v>
      </c>
      <c r="I47" s="19" t="s">
        <v>33</v>
      </c>
      <c r="J47" s="20" t="s">
        <v>217</v>
      </c>
      <c r="K47" s="17" t="s">
        <v>34</v>
      </c>
      <c r="L47" s="18"/>
      <c r="M47" s="18"/>
      <c r="N47" s="18"/>
      <c r="O47" s="18"/>
    </row>
    <row r="48" customFormat="false" ht="23.85" hidden="false" customHeight="false" outlineLevel="0" collapsed="false">
      <c r="A48" s="19" t="s">
        <v>230</v>
      </c>
      <c r="B48" s="19" t="s">
        <v>212</v>
      </c>
      <c r="C48" s="20" t="s">
        <v>213</v>
      </c>
      <c r="D48" s="20" t="s">
        <v>92</v>
      </c>
      <c r="E48" s="20" t="s">
        <v>214</v>
      </c>
      <c r="F48" s="19" t="s">
        <v>29</v>
      </c>
      <c r="G48" s="20" t="s">
        <v>231</v>
      </c>
      <c r="H48" s="20" t="s">
        <v>232</v>
      </c>
      <c r="I48" s="19" t="s">
        <v>33</v>
      </c>
      <c r="J48" s="20" t="s">
        <v>217</v>
      </c>
      <c r="K48" s="17" t="s">
        <v>34</v>
      </c>
      <c r="L48" s="18"/>
      <c r="M48" s="18"/>
      <c r="N48" s="18"/>
      <c r="O48" s="18"/>
    </row>
    <row r="49" customFormat="false" ht="23.85" hidden="false" customHeight="false" outlineLevel="0" collapsed="false">
      <c r="A49" s="19" t="s">
        <v>233</v>
      </c>
      <c r="B49" s="19" t="s">
        <v>212</v>
      </c>
      <c r="C49" s="20" t="s">
        <v>213</v>
      </c>
      <c r="D49" s="20" t="s">
        <v>92</v>
      </c>
      <c r="E49" s="20" t="s">
        <v>214</v>
      </c>
      <c r="F49" s="19" t="s">
        <v>29</v>
      </c>
      <c r="G49" s="20" t="s">
        <v>234</v>
      </c>
      <c r="H49" s="20" t="s">
        <v>235</v>
      </c>
      <c r="I49" s="19" t="s">
        <v>33</v>
      </c>
      <c r="J49" s="20" t="s">
        <v>217</v>
      </c>
      <c r="K49" s="17" t="s">
        <v>34</v>
      </c>
      <c r="L49" s="18"/>
      <c r="M49" s="18"/>
      <c r="N49" s="18"/>
      <c r="O49" s="18"/>
    </row>
    <row r="50" customFormat="false" ht="23.85" hidden="false" customHeight="false" outlineLevel="0" collapsed="false">
      <c r="A50" s="19" t="s">
        <v>236</v>
      </c>
      <c r="B50" s="19" t="s">
        <v>212</v>
      </c>
      <c r="C50" s="20" t="s">
        <v>213</v>
      </c>
      <c r="D50" s="20" t="s">
        <v>92</v>
      </c>
      <c r="E50" s="20" t="s">
        <v>214</v>
      </c>
      <c r="F50" s="19" t="s">
        <v>28</v>
      </c>
      <c r="G50" s="20" t="s">
        <v>237</v>
      </c>
      <c r="H50" s="20" t="s">
        <v>238</v>
      </c>
      <c r="I50" s="19" t="s">
        <v>32</v>
      </c>
      <c r="J50" s="20" t="s">
        <v>217</v>
      </c>
      <c r="K50" s="17" t="s">
        <v>34</v>
      </c>
      <c r="L50" s="18"/>
      <c r="M50" s="18"/>
      <c r="N50" s="18"/>
      <c r="O50" s="18"/>
    </row>
    <row r="51" customFormat="false" ht="23.85" hidden="false" customHeight="false" outlineLevel="0" collapsed="false">
      <c r="A51" s="19" t="s">
        <v>239</v>
      </c>
      <c r="B51" s="19" t="s">
        <v>212</v>
      </c>
      <c r="C51" s="20" t="s">
        <v>213</v>
      </c>
      <c r="D51" s="20" t="s">
        <v>92</v>
      </c>
      <c r="E51" s="20" t="s">
        <v>214</v>
      </c>
      <c r="F51" s="19" t="s">
        <v>29</v>
      </c>
      <c r="G51" s="20" t="s">
        <v>240</v>
      </c>
      <c r="H51" s="20" t="s">
        <v>241</v>
      </c>
      <c r="I51" s="19" t="s">
        <v>33</v>
      </c>
      <c r="J51" s="20" t="s">
        <v>217</v>
      </c>
      <c r="K51" s="17" t="s">
        <v>34</v>
      </c>
      <c r="L51" s="18"/>
      <c r="M51" s="18"/>
      <c r="N51" s="18"/>
      <c r="O51" s="18"/>
    </row>
    <row r="52" customFormat="false" ht="23.85" hidden="false" customHeight="false" outlineLevel="0" collapsed="false">
      <c r="A52" s="19" t="s">
        <v>242</v>
      </c>
      <c r="B52" s="19" t="s">
        <v>212</v>
      </c>
      <c r="C52" s="20" t="s">
        <v>213</v>
      </c>
      <c r="D52" s="20" t="s">
        <v>92</v>
      </c>
      <c r="E52" s="20" t="s">
        <v>214</v>
      </c>
      <c r="F52" s="19" t="s">
        <v>28</v>
      </c>
      <c r="G52" s="20" t="s">
        <v>243</v>
      </c>
      <c r="H52" s="20" t="s">
        <v>244</v>
      </c>
      <c r="I52" s="19" t="s">
        <v>32</v>
      </c>
      <c r="J52" s="20" t="s">
        <v>217</v>
      </c>
      <c r="K52" s="17" t="s">
        <v>34</v>
      </c>
      <c r="L52" s="18"/>
      <c r="M52" s="18"/>
      <c r="N52" s="18"/>
      <c r="O52" s="18"/>
    </row>
    <row r="53" customFormat="false" ht="23.85" hidden="false" customHeight="false" outlineLevel="0" collapsed="false">
      <c r="A53" s="19" t="s">
        <v>245</v>
      </c>
      <c r="B53" s="19" t="s">
        <v>212</v>
      </c>
      <c r="C53" s="20" t="s">
        <v>213</v>
      </c>
      <c r="D53" s="20" t="s">
        <v>92</v>
      </c>
      <c r="E53" s="20" t="s">
        <v>214</v>
      </c>
      <c r="F53" s="19" t="s">
        <v>28</v>
      </c>
      <c r="G53" s="20" t="s">
        <v>246</v>
      </c>
      <c r="H53" s="20" t="s">
        <v>247</v>
      </c>
      <c r="I53" s="19" t="s">
        <v>32</v>
      </c>
      <c r="J53" s="20" t="s">
        <v>217</v>
      </c>
      <c r="K53" s="17" t="s">
        <v>34</v>
      </c>
      <c r="L53" s="18"/>
      <c r="M53" s="18"/>
      <c r="N53" s="18"/>
      <c r="O53" s="18"/>
    </row>
    <row r="54" customFormat="false" ht="23.85" hidden="false" customHeight="false" outlineLevel="0" collapsed="false">
      <c r="A54" s="15" t="s">
        <v>248</v>
      </c>
      <c r="B54" s="15" t="s">
        <v>249</v>
      </c>
      <c r="C54" s="16" t="s">
        <v>250</v>
      </c>
      <c r="D54" s="16" t="s">
        <v>92</v>
      </c>
      <c r="E54" s="16" t="s">
        <v>251</v>
      </c>
      <c r="F54" s="15" t="s">
        <v>27</v>
      </c>
      <c r="G54" s="16" t="s">
        <v>252</v>
      </c>
      <c r="H54" s="16" t="s">
        <v>253</v>
      </c>
      <c r="I54" s="15" t="s">
        <v>31</v>
      </c>
      <c r="J54" s="16" t="s">
        <v>254</v>
      </c>
      <c r="K54" s="17" t="s">
        <v>34</v>
      </c>
      <c r="L54" s="18"/>
      <c r="M54" s="18"/>
      <c r="N54" s="18"/>
      <c r="O54" s="18"/>
    </row>
    <row r="55" customFormat="false" ht="23.85" hidden="false" customHeight="false" outlineLevel="0" collapsed="false">
      <c r="A55" s="15" t="s">
        <v>255</v>
      </c>
      <c r="B55" s="15" t="s">
        <v>249</v>
      </c>
      <c r="C55" s="16" t="s">
        <v>250</v>
      </c>
      <c r="D55" s="16" t="s">
        <v>92</v>
      </c>
      <c r="E55" s="16" t="s">
        <v>251</v>
      </c>
      <c r="F55" s="15" t="s">
        <v>29</v>
      </c>
      <c r="G55" s="16" t="s">
        <v>256</v>
      </c>
      <c r="H55" s="16" t="s">
        <v>257</v>
      </c>
      <c r="I55" s="15" t="s">
        <v>33</v>
      </c>
      <c r="J55" s="16" t="s">
        <v>254</v>
      </c>
      <c r="K55" s="17" t="s">
        <v>34</v>
      </c>
      <c r="L55" s="18"/>
      <c r="M55" s="18"/>
      <c r="N55" s="18"/>
      <c r="O55" s="18"/>
    </row>
    <row r="56" customFormat="false" ht="23.85" hidden="false" customHeight="false" outlineLevel="0" collapsed="false">
      <c r="A56" s="15" t="s">
        <v>258</v>
      </c>
      <c r="B56" s="15" t="s">
        <v>249</v>
      </c>
      <c r="C56" s="16" t="s">
        <v>250</v>
      </c>
      <c r="D56" s="16" t="s">
        <v>92</v>
      </c>
      <c r="E56" s="16" t="s">
        <v>251</v>
      </c>
      <c r="F56" s="15" t="s">
        <v>29</v>
      </c>
      <c r="G56" s="16" t="s">
        <v>259</v>
      </c>
      <c r="H56" s="16" t="s">
        <v>260</v>
      </c>
      <c r="I56" s="15" t="s">
        <v>33</v>
      </c>
      <c r="J56" s="16" t="s">
        <v>254</v>
      </c>
      <c r="K56" s="17" t="s">
        <v>34</v>
      </c>
      <c r="L56" s="18"/>
      <c r="M56" s="18"/>
      <c r="N56" s="18"/>
      <c r="O56" s="18"/>
    </row>
    <row r="57" customFormat="false" ht="23.85" hidden="false" customHeight="false" outlineLevel="0" collapsed="false">
      <c r="A57" s="15" t="s">
        <v>261</v>
      </c>
      <c r="B57" s="15" t="s">
        <v>249</v>
      </c>
      <c r="C57" s="16" t="s">
        <v>250</v>
      </c>
      <c r="D57" s="16" t="s">
        <v>92</v>
      </c>
      <c r="E57" s="16" t="s">
        <v>251</v>
      </c>
      <c r="F57" s="15" t="s">
        <v>28</v>
      </c>
      <c r="G57" s="16" t="s">
        <v>262</v>
      </c>
      <c r="H57" s="16" t="s">
        <v>263</v>
      </c>
      <c r="I57" s="15" t="s">
        <v>32</v>
      </c>
      <c r="J57" s="16" t="s">
        <v>254</v>
      </c>
      <c r="K57" s="17" t="s">
        <v>34</v>
      </c>
      <c r="L57" s="18"/>
      <c r="M57" s="18"/>
      <c r="N57" s="18"/>
      <c r="O57" s="18"/>
    </row>
    <row r="58" customFormat="false" ht="23.85" hidden="false" customHeight="false" outlineLevel="0" collapsed="false">
      <c r="A58" s="15" t="s">
        <v>264</v>
      </c>
      <c r="B58" s="15" t="s">
        <v>249</v>
      </c>
      <c r="C58" s="16" t="s">
        <v>250</v>
      </c>
      <c r="D58" s="16" t="s">
        <v>92</v>
      </c>
      <c r="E58" s="16" t="s">
        <v>251</v>
      </c>
      <c r="F58" s="15" t="s">
        <v>29</v>
      </c>
      <c r="G58" s="16" t="s">
        <v>265</v>
      </c>
      <c r="H58" s="16" t="s">
        <v>266</v>
      </c>
      <c r="I58" s="15" t="s">
        <v>33</v>
      </c>
      <c r="J58" s="16" t="s">
        <v>254</v>
      </c>
      <c r="K58" s="17" t="s">
        <v>34</v>
      </c>
      <c r="L58" s="18"/>
      <c r="M58" s="18"/>
      <c r="N58" s="18"/>
      <c r="O58" s="18"/>
    </row>
    <row r="59" customFormat="false" ht="23.85" hidden="false" customHeight="false" outlineLevel="0" collapsed="false">
      <c r="A59" s="19" t="s">
        <v>267</v>
      </c>
      <c r="B59" s="19" t="s">
        <v>268</v>
      </c>
      <c r="C59" s="20" t="s">
        <v>269</v>
      </c>
      <c r="D59" s="20" t="s">
        <v>92</v>
      </c>
      <c r="E59" s="20" t="s">
        <v>270</v>
      </c>
      <c r="F59" s="19" t="s">
        <v>27</v>
      </c>
      <c r="G59" s="20" t="s">
        <v>271</v>
      </c>
      <c r="H59" s="20" t="s">
        <v>272</v>
      </c>
      <c r="I59" s="19" t="s">
        <v>31</v>
      </c>
      <c r="J59" s="20" t="s">
        <v>273</v>
      </c>
      <c r="K59" s="17" t="s">
        <v>34</v>
      </c>
      <c r="L59" s="18"/>
      <c r="M59" s="18"/>
      <c r="N59" s="18"/>
      <c r="O59" s="18"/>
    </row>
    <row r="60" customFormat="false" ht="23.85" hidden="false" customHeight="false" outlineLevel="0" collapsed="false">
      <c r="A60" s="19" t="s">
        <v>274</v>
      </c>
      <c r="B60" s="19" t="s">
        <v>268</v>
      </c>
      <c r="C60" s="20" t="s">
        <v>269</v>
      </c>
      <c r="D60" s="20" t="s">
        <v>92</v>
      </c>
      <c r="E60" s="20" t="s">
        <v>270</v>
      </c>
      <c r="F60" s="19" t="s">
        <v>28</v>
      </c>
      <c r="G60" s="20" t="s">
        <v>275</v>
      </c>
      <c r="H60" s="20" t="s">
        <v>276</v>
      </c>
      <c r="I60" s="19" t="s">
        <v>32</v>
      </c>
      <c r="J60" s="20" t="s">
        <v>273</v>
      </c>
      <c r="K60" s="17" t="s">
        <v>34</v>
      </c>
      <c r="L60" s="18"/>
      <c r="M60" s="18"/>
      <c r="N60" s="18"/>
      <c r="O60" s="18"/>
    </row>
    <row r="61" customFormat="false" ht="23.85" hidden="false" customHeight="false" outlineLevel="0" collapsed="false">
      <c r="A61" s="19" t="s">
        <v>277</v>
      </c>
      <c r="B61" s="19" t="s">
        <v>268</v>
      </c>
      <c r="C61" s="20" t="s">
        <v>269</v>
      </c>
      <c r="D61" s="20" t="s">
        <v>92</v>
      </c>
      <c r="E61" s="20" t="s">
        <v>270</v>
      </c>
      <c r="F61" s="19" t="s">
        <v>28</v>
      </c>
      <c r="G61" s="20" t="s">
        <v>278</v>
      </c>
      <c r="H61" s="20" t="s">
        <v>279</v>
      </c>
      <c r="I61" s="19" t="s">
        <v>32</v>
      </c>
      <c r="J61" s="20" t="s">
        <v>273</v>
      </c>
      <c r="K61" s="17" t="s">
        <v>34</v>
      </c>
      <c r="L61" s="18"/>
      <c r="M61" s="18"/>
      <c r="N61" s="18"/>
      <c r="O61" s="18"/>
    </row>
    <row r="62" customFormat="false" ht="23.85" hidden="false" customHeight="false" outlineLevel="0" collapsed="false">
      <c r="A62" s="19" t="s">
        <v>280</v>
      </c>
      <c r="B62" s="19" t="s">
        <v>268</v>
      </c>
      <c r="C62" s="20" t="s">
        <v>269</v>
      </c>
      <c r="D62" s="20" t="s">
        <v>92</v>
      </c>
      <c r="E62" s="20" t="s">
        <v>270</v>
      </c>
      <c r="F62" s="19" t="s">
        <v>28</v>
      </c>
      <c r="G62" s="20" t="s">
        <v>281</v>
      </c>
      <c r="H62" s="20" t="s">
        <v>282</v>
      </c>
      <c r="I62" s="19" t="s">
        <v>32</v>
      </c>
      <c r="J62" s="20" t="s">
        <v>273</v>
      </c>
      <c r="K62" s="17" t="s">
        <v>34</v>
      </c>
      <c r="L62" s="18"/>
      <c r="M62" s="18"/>
      <c r="N62" s="18"/>
      <c r="O62" s="18"/>
    </row>
    <row r="63" customFormat="false" ht="23.85" hidden="false" customHeight="false" outlineLevel="0" collapsed="false">
      <c r="A63" s="19" t="s">
        <v>283</v>
      </c>
      <c r="B63" s="19" t="s">
        <v>268</v>
      </c>
      <c r="C63" s="20" t="s">
        <v>269</v>
      </c>
      <c r="D63" s="20" t="s">
        <v>92</v>
      </c>
      <c r="E63" s="20" t="s">
        <v>270</v>
      </c>
      <c r="F63" s="19" t="s">
        <v>28</v>
      </c>
      <c r="G63" s="20" t="s">
        <v>284</v>
      </c>
      <c r="H63" s="20" t="s">
        <v>247</v>
      </c>
      <c r="I63" s="19" t="s">
        <v>32</v>
      </c>
      <c r="J63" s="20" t="s">
        <v>273</v>
      </c>
      <c r="K63" s="17" t="s">
        <v>34</v>
      </c>
      <c r="L63" s="18"/>
      <c r="M63" s="18"/>
      <c r="N63" s="18"/>
      <c r="O63" s="18"/>
    </row>
    <row r="64" customFormat="false" ht="23.85" hidden="false" customHeight="false" outlineLevel="0" collapsed="false">
      <c r="A64" s="19" t="s">
        <v>285</v>
      </c>
      <c r="B64" s="19" t="s">
        <v>268</v>
      </c>
      <c r="C64" s="20" t="s">
        <v>269</v>
      </c>
      <c r="D64" s="20" t="s">
        <v>92</v>
      </c>
      <c r="E64" s="20" t="s">
        <v>270</v>
      </c>
      <c r="F64" s="19" t="s">
        <v>29</v>
      </c>
      <c r="G64" s="20" t="s">
        <v>286</v>
      </c>
      <c r="H64" s="20" t="s">
        <v>287</v>
      </c>
      <c r="I64" s="19" t="s">
        <v>33</v>
      </c>
      <c r="J64" s="20" t="s">
        <v>273</v>
      </c>
      <c r="K64" s="17" t="s">
        <v>34</v>
      </c>
      <c r="L64" s="18"/>
      <c r="M64" s="18"/>
      <c r="N64" s="18"/>
      <c r="O64" s="18"/>
    </row>
    <row r="65" customFormat="false" ht="35.05" hidden="false" customHeight="false" outlineLevel="0" collapsed="false">
      <c r="A65" s="15" t="s">
        <v>288</v>
      </c>
      <c r="B65" s="15" t="s">
        <v>289</v>
      </c>
      <c r="C65" s="16" t="s">
        <v>290</v>
      </c>
      <c r="D65" s="16" t="s">
        <v>92</v>
      </c>
      <c r="E65" s="16" t="s">
        <v>291</v>
      </c>
      <c r="F65" s="15" t="s">
        <v>27</v>
      </c>
      <c r="G65" s="16" t="s">
        <v>292</v>
      </c>
      <c r="H65" s="16" t="s">
        <v>293</v>
      </c>
      <c r="I65" s="15" t="s">
        <v>31</v>
      </c>
      <c r="J65" s="16" t="s">
        <v>294</v>
      </c>
      <c r="K65" s="17" t="s">
        <v>34</v>
      </c>
      <c r="L65" s="18"/>
      <c r="M65" s="18"/>
      <c r="N65" s="18"/>
      <c r="O65" s="18"/>
    </row>
    <row r="66" customFormat="false" ht="35.05" hidden="false" customHeight="false" outlineLevel="0" collapsed="false">
      <c r="A66" s="15" t="s">
        <v>295</v>
      </c>
      <c r="B66" s="15" t="s">
        <v>289</v>
      </c>
      <c r="C66" s="16" t="s">
        <v>290</v>
      </c>
      <c r="D66" s="16" t="s">
        <v>92</v>
      </c>
      <c r="E66" s="16" t="s">
        <v>291</v>
      </c>
      <c r="F66" s="15" t="s">
        <v>27</v>
      </c>
      <c r="G66" s="16" t="s">
        <v>296</v>
      </c>
      <c r="H66" s="16" t="s">
        <v>297</v>
      </c>
      <c r="I66" s="15" t="s">
        <v>31</v>
      </c>
      <c r="J66" s="16" t="s">
        <v>294</v>
      </c>
      <c r="K66" s="17" t="s">
        <v>34</v>
      </c>
      <c r="L66" s="18"/>
      <c r="M66" s="18"/>
      <c r="N66" s="18"/>
      <c r="O66" s="18"/>
    </row>
    <row r="67" customFormat="false" ht="35.05" hidden="false" customHeight="false" outlineLevel="0" collapsed="false">
      <c r="A67" s="15" t="s">
        <v>298</v>
      </c>
      <c r="B67" s="15" t="s">
        <v>289</v>
      </c>
      <c r="C67" s="16" t="s">
        <v>290</v>
      </c>
      <c r="D67" s="16" t="s">
        <v>92</v>
      </c>
      <c r="E67" s="16" t="s">
        <v>291</v>
      </c>
      <c r="F67" s="15" t="s">
        <v>27</v>
      </c>
      <c r="G67" s="16" t="s">
        <v>299</v>
      </c>
      <c r="H67" s="16" t="s">
        <v>300</v>
      </c>
      <c r="I67" s="15" t="s">
        <v>31</v>
      </c>
      <c r="J67" s="16" t="s">
        <v>294</v>
      </c>
      <c r="K67" s="17" t="s">
        <v>34</v>
      </c>
      <c r="L67" s="18"/>
      <c r="M67" s="18"/>
      <c r="N67" s="18"/>
      <c r="O67" s="18"/>
    </row>
    <row r="68" customFormat="false" ht="35.05" hidden="false" customHeight="false" outlineLevel="0" collapsed="false">
      <c r="A68" s="15" t="s">
        <v>301</v>
      </c>
      <c r="B68" s="15" t="s">
        <v>289</v>
      </c>
      <c r="C68" s="16" t="s">
        <v>290</v>
      </c>
      <c r="D68" s="16" t="s">
        <v>92</v>
      </c>
      <c r="E68" s="16" t="s">
        <v>291</v>
      </c>
      <c r="F68" s="15" t="s">
        <v>29</v>
      </c>
      <c r="G68" s="16" t="s">
        <v>302</v>
      </c>
      <c r="H68" s="16" t="s">
        <v>303</v>
      </c>
      <c r="I68" s="15" t="s">
        <v>33</v>
      </c>
      <c r="J68" s="16" t="s">
        <v>294</v>
      </c>
      <c r="K68" s="17" t="s">
        <v>34</v>
      </c>
      <c r="L68" s="18"/>
      <c r="M68" s="18"/>
      <c r="N68" s="18"/>
      <c r="O68" s="18"/>
    </row>
    <row r="69" customFormat="false" ht="35.05" hidden="false" customHeight="false" outlineLevel="0" collapsed="false">
      <c r="A69" s="15" t="s">
        <v>304</v>
      </c>
      <c r="B69" s="15" t="s">
        <v>289</v>
      </c>
      <c r="C69" s="16" t="s">
        <v>290</v>
      </c>
      <c r="D69" s="16" t="s">
        <v>92</v>
      </c>
      <c r="E69" s="16" t="s">
        <v>291</v>
      </c>
      <c r="F69" s="15" t="s">
        <v>29</v>
      </c>
      <c r="G69" s="16" t="s">
        <v>305</v>
      </c>
      <c r="H69" s="16" t="s">
        <v>306</v>
      </c>
      <c r="I69" s="15" t="s">
        <v>33</v>
      </c>
      <c r="J69" s="16" t="s">
        <v>294</v>
      </c>
      <c r="K69" s="17" t="s">
        <v>34</v>
      </c>
      <c r="L69" s="18"/>
      <c r="M69" s="18"/>
      <c r="N69" s="18"/>
      <c r="O69" s="18"/>
    </row>
    <row r="70" customFormat="false" ht="35.05" hidden="false" customHeight="false" outlineLevel="0" collapsed="false">
      <c r="A70" s="15" t="s">
        <v>307</v>
      </c>
      <c r="B70" s="15" t="s">
        <v>289</v>
      </c>
      <c r="C70" s="16" t="s">
        <v>290</v>
      </c>
      <c r="D70" s="16" t="s">
        <v>92</v>
      </c>
      <c r="E70" s="16" t="s">
        <v>291</v>
      </c>
      <c r="F70" s="15" t="s">
        <v>28</v>
      </c>
      <c r="G70" s="16" t="s">
        <v>308</v>
      </c>
      <c r="H70" s="16" t="s">
        <v>309</v>
      </c>
      <c r="I70" s="15" t="s">
        <v>32</v>
      </c>
      <c r="J70" s="16" t="s">
        <v>294</v>
      </c>
      <c r="K70" s="17" t="s">
        <v>34</v>
      </c>
      <c r="L70" s="18"/>
      <c r="M70" s="18"/>
      <c r="N70" s="18"/>
      <c r="O70" s="18"/>
    </row>
    <row r="71" customFormat="false" ht="35.05" hidden="false" customHeight="false" outlineLevel="0" collapsed="false">
      <c r="A71" s="15" t="s">
        <v>310</v>
      </c>
      <c r="B71" s="15" t="s">
        <v>289</v>
      </c>
      <c r="C71" s="16" t="s">
        <v>290</v>
      </c>
      <c r="D71" s="16" t="s">
        <v>92</v>
      </c>
      <c r="E71" s="16" t="s">
        <v>291</v>
      </c>
      <c r="F71" s="15" t="s">
        <v>29</v>
      </c>
      <c r="G71" s="16" t="s">
        <v>311</v>
      </c>
      <c r="H71" s="16" t="s">
        <v>312</v>
      </c>
      <c r="I71" s="15" t="s">
        <v>33</v>
      </c>
      <c r="J71" s="16" t="s">
        <v>294</v>
      </c>
      <c r="K71" s="17" t="s">
        <v>34</v>
      </c>
      <c r="L71" s="18"/>
      <c r="M71" s="18"/>
      <c r="N71" s="18"/>
      <c r="O71" s="18"/>
    </row>
    <row r="72" customFormat="false" ht="35.05" hidden="false" customHeight="false" outlineLevel="0" collapsed="false">
      <c r="A72" s="15" t="s">
        <v>313</v>
      </c>
      <c r="B72" s="15" t="s">
        <v>289</v>
      </c>
      <c r="C72" s="16" t="s">
        <v>290</v>
      </c>
      <c r="D72" s="16" t="s">
        <v>92</v>
      </c>
      <c r="E72" s="16" t="s">
        <v>291</v>
      </c>
      <c r="F72" s="15" t="s">
        <v>29</v>
      </c>
      <c r="G72" s="16" t="s">
        <v>314</v>
      </c>
      <c r="H72" s="16" t="s">
        <v>315</v>
      </c>
      <c r="I72" s="15" t="s">
        <v>33</v>
      </c>
      <c r="J72" s="16" t="s">
        <v>294</v>
      </c>
      <c r="K72" s="17" t="s">
        <v>34</v>
      </c>
      <c r="L72" s="18"/>
      <c r="M72" s="18"/>
      <c r="N72" s="18"/>
      <c r="O72" s="18"/>
    </row>
    <row r="73" customFormat="false" ht="35.05" hidden="false" customHeight="false" outlineLevel="0" collapsed="false">
      <c r="A73" s="15" t="s">
        <v>316</v>
      </c>
      <c r="B73" s="15" t="s">
        <v>289</v>
      </c>
      <c r="C73" s="16" t="s">
        <v>290</v>
      </c>
      <c r="D73" s="16" t="s">
        <v>92</v>
      </c>
      <c r="E73" s="16" t="s">
        <v>291</v>
      </c>
      <c r="F73" s="15" t="s">
        <v>29</v>
      </c>
      <c r="G73" s="16" t="s">
        <v>317</v>
      </c>
      <c r="H73" s="16" t="s">
        <v>318</v>
      </c>
      <c r="I73" s="15" t="s">
        <v>33</v>
      </c>
      <c r="J73" s="16" t="s">
        <v>294</v>
      </c>
      <c r="K73" s="17" t="s">
        <v>34</v>
      </c>
      <c r="L73" s="18"/>
      <c r="M73" s="18"/>
      <c r="N73" s="18"/>
      <c r="O73" s="18"/>
    </row>
    <row r="74" customFormat="false" ht="23.85" hidden="false" customHeight="false" outlineLevel="0" collapsed="false">
      <c r="A74" s="19" t="s">
        <v>319</v>
      </c>
      <c r="B74" s="19" t="s">
        <v>320</v>
      </c>
      <c r="C74" s="20" t="s">
        <v>321</v>
      </c>
      <c r="D74" s="20" t="s">
        <v>92</v>
      </c>
      <c r="E74" s="20" t="s">
        <v>322</v>
      </c>
      <c r="F74" s="19" t="s">
        <v>27</v>
      </c>
      <c r="G74" s="20" t="s">
        <v>323</v>
      </c>
      <c r="H74" s="20" t="s">
        <v>324</v>
      </c>
      <c r="I74" s="19" t="s">
        <v>31</v>
      </c>
      <c r="J74" s="20" t="s">
        <v>325</v>
      </c>
      <c r="K74" s="17" t="s">
        <v>34</v>
      </c>
      <c r="L74" s="18"/>
      <c r="M74" s="18"/>
      <c r="N74" s="18"/>
      <c r="O74" s="18"/>
    </row>
    <row r="75" customFormat="false" ht="23.85" hidden="false" customHeight="false" outlineLevel="0" collapsed="false">
      <c r="A75" s="19" t="s">
        <v>326</v>
      </c>
      <c r="B75" s="19" t="s">
        <v>320</v>
      </c>
      <c r="C75" s="20" t="s">
        <v>321</v>
      </c>
      <c r="D75" s="20" t="s">
        <v>92</v>
      </c>
      <c r="E75" s="20" t="s">
        <v>322</v>
      </c>
      <c r="F75" s="19" t="s">
        <v>28</v>
      </c>
      <c r="G75" s="20" t="s">
        <v>327</v>
      </c>
      <c r="H75" s="20" t="s">
        <v>328</v>
      </c>
      <c r="I75" s="19" t="s">
        <v>32</v>
      </c>
      <c r="J75" s="20" t="s">
        <v>325</v>
      </c>
      <c r="K75" s="17" t="s">
        <v>34</v>
      </c>
      <c r="L75" s="18"/>
      <c r="M75" s="18"/>
      <c r="N75" s="18"/>
      <c r="O75" s="18"/>
    </row>
    <row r="76" customFormat="false" ht="23.85" hidden="false" customHeight="false" outlineLevel="0" collapsed="false">
      <c r="A76" s="19" t="s">
        <v>329</v>
      </c>
      <c r="B76" s="19" t="s">
        <v>320</v>
      </c>
      <c r="C76" s="20" t="s">
        <v>321</v>
      </c>
      <c r="D76" s="20" t="s">
        <v>92</v>
      </c>
      <c r="E76" s="20" t="s">
        <v>322</v>
      </c>
      <c r="F76" s="19" t="s">
        <v>28</v>
      </c>
      <c r="G76" s="20" t="s">
        <v>330</v>
      </c>
      <c r="H76" s="20" t="s">
        <v>331</v>
      </c>
      <c r="I76" s="19" t="s">
        <v>32</v>
      </c>
      <c r="J76" s="20" t="s">
        <v>325</v>
      </c>
      <c r="K76" s="17" t="s">
        <v>34</v>
      </c>
      <c r="L76" s="18"/>
      <c r="M76" s="18"/>
      <c r="N76" s="18"/>
      <c r="O76" s="18"/>
    </row>
    <row r="77" customFormat="false" ht="23.85" hidden="false" customHeight="false" outlineLevel="0" collapsed="false">
      <c r="A77" s="19" t="s">
        <v>332</v>
      </c>
      <c r="B77" s="19" t="s">
        <v>320</v>
      </c>
      <c r="C77" s="20" t="s">
        <v>321</v>
      </c>
      <c r="D77" s="20" t="s">
        <v>92</v>
      </c>
      <c r="E77" s="20" t="s">
        <v>322</v>
      </c>
      <c r="F77" s="19" t="s">
        <v>30</v>
      </c>
      <c r="G77" s="20" t="s">
        <v>333</v>
      </c>
      <c r="H77" s="20" t="s">
        <v>334</v>
      </c>
      <c r="I77" s="19" t="s">
        <v>31</v>
      </c>
      <c r="J77" s="20" t="s">
        <v>325</v>
      </c>
      <c r="K77" s="17" t="s">
        <v>34</v>
      </c>
      <c r="L77" s="18"/>
      <c r="M77" s="18"/>
      <c r="N77" s="18"/>
      <c r="O77" s="18"/>
    </row>
    <row r="78" customFormat="false" ht="23.85" hidden="false" customHeight="false" outlineLevel="0" collapsed="false">
      <c r="A78" s="19" t="s">
        <v>335</v>
      </c>
      <c r="B78" s="19" t="s">
        <v>320</v>
      </c>
      <c r="C78" s="20" t="s">
        <v>321</v>
      </c>
      <c r="D78" s="20" t="s">
        <v>92</v>
      </c>
      <c r="E78" s="20" t="s">
        <v>322</v>
      </c>
      <c r="F78" s="19" t="s">
        <v>29</v>
      </c>
      <c r="G78" s="20" t="s">
        <v>336</v>
      </c>
      <c r="H78" s="20" t="s">
        <v>337</v>
      </c>
      <c r="I78" s="19" t="s">
        <v>33</v>
      </c>
      <c r="J78" s="20" t="s">
        <v>325</v>
      </c>
      <c r="K78" s="17" t="s">
        <v>34</v>
      </c>
      <c r="L78" s="18"/>
      <c r="M78" s="18"/>
      <c r="N78" s="18"/>
      <c r="O78" s="18"/>
    </row>
    <row r="79" customFormat="false" ht="35.05" hidden="false" customHeight="false" outlineLevel="0" collapsed="false">
      <c r="A79" s="15" t="s">
        <v>338</v>
      </c>
      <c r="B79" s="15" t="s">
        <v>339</v>
      </c>
      <c r="C79" s="16" t="s">
        <v>340</v>
      </c>
      <c r="D79" s="16" t="s">
        <v>92</v>
      </c>
      <c r="E79" s="16" t="s">
        <v>341</v>
      </c>
      <c r="F79" s="15" t="s">
        <v>27</v>
      </c>
      <c r="G79" s="16" t="s">
        <v>342</v>
      </c>
      <c r="H79" s="16" t="s">
        <v>343</v>
      </c>
      <c r="I79" s="15" t="s">
        <v>31</v>
      </c>
      <c r="J79" s="16" t="s">
        <v>344</v>
      </c>
      <c r="K79" s="17" t="s">
        <v>34</v>
      </c>
      <c r="L79" s="18"/>
      <c r="M79" s="18"/>
      <c r="N79" s="18"/>
      <c r="O79" s="18"/>
    </row>
    <row r="80" customFormat="false" ht="35.05" hidden="false" customHeight="false" outlineLevel="0" collapsed="false">
      <c r="A80" s="15" t="s">
        <v>345</v>
      </c>
      <c r="B80" s="15" t="s">
        <v>339</v>
      </c>
      <c r="C80" s="16" t="s">
        <v>340</v>
      </c>
      <c r="D80" s="16" t="s">
        <v>92</v>
      </c>
      <c r="E80" s="16" t="s">
        <v>341</v>
      </c>
      <c r="F80" s="15" t="s">
        <v>27</v>
      </c>
      <c r="G80" s="16" t="s">
        <v>346</v>
      </c>
      <c r="H80" s="16" t="s">
        <v>347</v>
      </c>
      <c r="I80" s="15" t="s">
        <v>31</v>
      </c>
      <c r="J80" s="16" t="s">
        <v>344</v>
      </c>
      <c r="K80" s="17" t="s">
        <v>34</v>
      </c>
      <c r="L80" s="18"/>
      <c r="M80" s="18"/>
      <c r="N80" s="18"/>
      <c r="O80" s="18"/>
    </row>
    <row r="81" customFormat="false" ht="35.05" hidden="false" customHeight="false" outlineLevel="0" collapsed="false">
      <c r="A81" s="15" t="s">
        <v>348</v>
      </c>
      <c r="B81" s="15" t="s">
        <v>339</v>
      </c>
      <c r="C81" s="16" t="s">
        <v>340</v>
      </c>
      <c r="D81" s="16" t="s">
        <v>92</v>
      </c>
      <c r="E81" s="16" t="s">
        <v>341</v>
      </c>
      <c r="F81" s="15" t="s">
        <v>29</v>
      </c>
      <c r="G81" s="16" t="s">
        <v>349</v>
      </c>
      <c r="H81" s="16" t="s">
        <v>350</v>
      </c>
      <c r="I81" s="15" t="s">
        <v>33</v>
      </c>
      <c r="J81" s="16" t="s">
        <v>344</v>
      </c>
      <c r="K81" s="17" t="s">
        <v>34</v>
      </c>
      <c r="L81" s="18"/>
      <c r="M81" s="18"/>
      <c r="N81" s="18"/>
      <c r="O81" s="18"/>
    </row>
    <row r="82" customFormat="false" ht="35.05" hidden="false" customHeight="false" outlineLevel="0" collapsed="false">
      <c r="A82" s="15" t="s">
        <v>351</v>
      </c>
      <c r="B82" s="15" t="s">
        <v>339</v>
      </c>
      <c r="C82" s="16" t="s">
        <v>340</v>
      </c>
      <c r="D82" s="16" t="s">
        <v>92</v>
      </c>
      <c r="E82" s="16" t="s">
        <v>341</v>
      </c>
      <c r="F82" s="15" t="s">
        <v>29</v>
      </c>
      <c r="G82" s="16" t="s">
        <v>352</v>
      </c>
      <c r="H82" s="16" t="s">
        <v>353</v>
      </c>
      <c r="I82" s="15" t="s">
        <v>33</v>
      </c>
      <c r="J82" s="16" t="s">
        <v>344</v>
      </c>
      <c r="K82" s="17" t="s">
        <v>34</v>
      </c>
      <c r="L82" s="18"/>
      <c r="M82" s="18"/>
      <c r="N82" s="18"/>
      <c r="O82" s="18"/>
    </row>
    <row r="83" customFormat="false" ht="35.05" hidden="false" customHeight="false" outlineLevel="0" collapsed="false">
      <c r="A83" s="15" t="s">
        <v>354</v>
      </c>
      <c r="B83" s="15" t="s">
        <v>339</v>
      </c>
      <c r="C83" s="16" t="s">
        <v>340</v>
      </c>
      <c r="D83" s="16" t="s">
        <v>92</v>
      </c>
      <c r="E83" s="16" t="s">
        <v>341</v>
      </c>
      <c r="F83" s="15" t="s">
        <v>28</v>
      </c>
      <c r="G83" s="16" t="s">
        <v>355</v>
      </c>
      <c r="H83" s="16" t="s">
        <v>247</v>
      </c>
      <c r="I83" s="15" t="s">
        <v>32</v>
      </c>
      <c r="J83" s="16" t="s">
        <v>344</v>
      </c>
      <c r="K83" s="17" t="s">
        <v>34</v>
      </c>
      <c r="L83" s="18"/>
      <c r="M83" s="18"/>
      <c r="N83" s="18"/>
      <c r="O83" s="18"/>
    </row>
    <row r="84" customFormat="false" ht="35.05" hidden="false" customHeight="false" outlineLevel="0" collapsed="false">
      <c r="A84" s="15" t="s">
        <v>356</v>
      </c>
      <c r="B84" s="15" t="s">
        <v>339</v>
      </c>
      <c r="C84" s="16" t="s">
        <v>340</v>
      </c>
      <c r="D84" s="16" t="s">
        <v>92</v>
      </c>
      <c r="E84" s="16" t="s">
        <v>341</v>
      </c>
      <c r="F84" s="15" t="s">
        <v>28</v>
      </c>
      <c r="G84" s="16" t="s">
        <v>357</v>
      </c>
      <c r="H84" s="16" t="s">
        <v>358</v>
      </c>
      <c r="I84" s="15" t="s">
        <v>32</v>
      </c>
      <c r="J84" s="16" t="s">
        <v>344</v>
      </c>
      <c r="K84" s="17" t="s">
        <v>34</v>
      </c>
      <c r="L84" s="18"/>
      <c r="M84" s="18"/>
      <c r="N84" s="18"/>
      <c r="O84" s="18"/>
    </row>
    <row r="85" customFormat="false" ht="35.05" hidden="false" customHeight="false" outlineLevel="0" collapsed="false">
      <c r="A85" s="15" t="s">
        <v>359</v>
      </c>
      <c r="B85" s="15" t="s">
        <v>339</v>
      </c>
      <c r="C85" s="16" t="s">
        <v>340</v>
      </c>
      <c r="D85" s="16" t="s">
        <v>92</v>
      </c>
      <c r="E85" s="16" t="s">
        <v>341</v>
      </c>
      <c r="F85" s="15" t="s">
        <v>30</v>
      </c>
      <c r="G85" s="16" t="s">
        <v>360</v>
      </c>
      <c r="H85" s="16" t="s">
        <v>361</v>
      </c>
      <c r="I85" s="15" t="s">
        <v>31</v>
      </c>
      <c r="J85" s="16" t="s">
        <v>344</v>
      </c>
      <c r="K85" s="17" t="s">
        <v>34</v>
      </c>
      <c r="L85" s="18"/>
      <c r="M85" s="18"/>
      <c r="N85" s="18"/>
      <c r="O85" s="18"/>
    </row>
    <row r="86" customFormat="false" ht="35.05" hidden="false" customHeight="false" outlineLevel="0" collapsed="false">
      <c r="A86" s="19" t="s">
        <v>362</v>
      </c>
      <c r="B86" s="19" t="s">
        <v>363</v>
      </c>
      <c r="C86" s="20" t="s">
        <v>364</v>
      </c>
      <c r="D86" s="20" t="s">
        <v>92</v>
      </c>
      <c r="E86" s="20" t="s">
        <v>365</v>
      </c>
      <c r="F86" s="19" t="s">
        <v>27</v>
      </c>
      <c r="G86" s="20" t="s">
        <v>366</v>
      </c>
      <c r="H86" s="20" t="s">
        <v>367</v>
      </c>
      <c r="I86" s="19" t="s">
        <v>31</v>
      </c>
      <c r="J86" s="20" t="s">
        <v>368</v>
      </c>
      <c r="K86" s="17" t="s">
        <v>34</v>
      </c>
      <c r="L86" s="18"/>
      <c r="M86" s="18"/>
      <c r="N86" s="18"/>
      <c r="O86" s="18"/>
    </row>
    <row r="87" customFormat="false" ht="35.05" hidden="false" customHeight="false" outlineLevel="0" collapsed="false">
      <c r="A87" s="19" t="s">
        <v>369</v>
      </c>
      <c r="B87" s="19" t="s">
        <v>363</v>
      </c>
      <c r="C87" s="20" t="s">
        <v>364</v>
      </c>
      <c r="D87" s="20" t="s">
        <v>92</v>
      </c>
      <c r="E87" s="20" t="s">
        <v>365</v>
      </c>
      <c r="F87" s="19" t="s">
        <v>28</v>
      </c>
      <c r="G87" s="20" t="s">
        <v>370</v>
      </c>
      <c r="H87" s="20" t="s">
        <v>371</v>
      </c>
      <c r="I87" s="19" t="s">
        <v>32</v>
      </c>
      <c r="J87" s="20" t="s">
        <v>368</v>
      </c>
      <c r="K87" s="17" t="s">
        <v>34</v>
      </c>
      <c r="L87" s="18"/>
      <c r="M87" s="18"/>
      <c r="N87" s="18"/>
      <c r="O87" s="18"/>
    </row>
    <row r="88" customFormat="false" ht="35.05" hidden="false" customHeight="false" outlineLevel="0" collapsed="false">
      <c r="A88" s="19" t="s">
        <v>372</v>
      </c>
      <c r="B88" s="19" t="s">
        <v>363</v>
      </c>
      <c r="C88" s="20" t="s">
        <v>364</v>
      </c>
      <c r="D88" s="20" t="s">
        <v>92</v>
      </c>
      <c r="E88" s="20" t="s">
        <v>365</v>
      </c>
      <c r="F88" s="19" t="s">
        <v>29</v>
      </c>
      <c r="G88" s="20" t="s">
        <v>373</v>
      </c>
      <c r="H88" s="20" t="s">
        <v>374</v>
      </c>
      <c r="I88" s="19" t="s">
        <v>33</v>
      </c>
      <c r="J88" s="20" t="s">
        <v>368</v>
      </c>
      <c r="K88" s="17" t="s">
        <v>34</v>
      </c>
      <c r="L88" s="18"/>
      <c r="M88" s="18"/>
      <c r="N88" s="18"/>
      <c r="O88" s="18"/>
    </row>
    <row r="89" customFormat="false" ht="35.05" hidden="false" customHeight="false" outlineLevel="0" collapsed="false">
      <c r="A89" s="15" t="s">
        <v>375</v>
      </c>
      <c r="B89" s="15" t="s">
        <v>376</v>
      </c>
      <c r="C89" s="16" t="s">
        <v>377</v>
      </c>
      <c r="D89" s="16" t="s">
        <v>92</v>
      </c>
      <c r="E89" s="16" t="s">
        <v>378</v>
      </c>
      <c r="F89" s="15" t="s">
        <v>27</v>
      </c>
      <c r="G89" s="16" t="s">
        <v>379</v>
      </c>
      <c r="H89" s="16" t="s">
        <v>380</v>
      </c>
      <c r="I89" s="15" t="s">
        <v>31</v>
      </c>
      <c r="J89" s="16" t="s">
        <v>381</v>
      </c>
      <c r="K89" s="17" t="s">
        <v>34</v>
      </c>
      <c r="L89" s="18"/>
      <c r="M89" s="18"/>
      <c r="N89" s="18"/>
      <c r="O89" s="18"/>
    </row>
    <row r="90" customFormat="false" ht="35.05" hidden="false" customHeight="false" outlineLevel="0" collapsed="false">
      <c r="A90" s="15" t="s">
        <v>382</v>
      </c>
      <c r="B90" s="15" t="s">
        <v>376</v>
      </c>
      <c r="C90" s="16" t="s">
        <v>377</v>
      </c>
      <c r="D90" s="16" t="s">
        <v>92</v>
      </c>
      <c r="E90" s="16" t="s">
        <v>378</v>
      </c>
      <c r="F90" s="15" t="s">
        <v>29</v>
      </c>
      <c r="G90" s="16" t="s">
        <v>383</v>
      </c>
      <c r="H90" s="16" t="s">
        <v>384</v>
      </c>
      <c r="I90" s="15" t="s">
        <v>33</v>
      </c>
      <c r="J90" s="16" t="s">
        <v>381</v>
      </c>
      <c r="K90" s="17" t="s">
        <v>34</v>
      </c>
      <c r="L90" s="18"/>
      <c r="M90" s="18"/>
      <c r="N90" s="18"/>
      <c r="O90" s="18"/>
    </row>
    <row r="91" customFormat="false" ht="35.05" hidden="false" customHeight="false" outlineLevel="0" collapsed="false">
      <c r="A91" s="15" t="s">
        <v>385</v>
      </c>
      <c r="B91" s="15" t="s">
        <v>376</v>
      </c>
      <c r="C91" s="16" t="s">
        <v>377</v>
      </c>
      <c r="D91" s="16" t="s">
        <v>92</v>
      </c>
      <c r="E91" s="16" t="s">
        <v>378</v>
      </c>
      <c r="F91" s="15" t="s">
        <v>29</v>
      </c>
      <c r="G91" s="16" t="s">
        <v>386</v>
      </c>
      <c r="H91" s="16" t="s">
        <v>387</v>
      </c>
      <c r="I91" s="15" t="s">
        <v>33</v>
      </c>
      <c r="J91" s="16" t="s">
        <v>381</v>
      </c>
      <c r="K91" s="17" t="s">
        <v>34</v>
      </c>
      <c r="L91" s="18"/>
      <c r="M91" s="18"/>
      <c r="N91" s="18"/>
      <c r="O91" s="18"/>
    </row>
    <row r="92" customFormat="false" ht="35.05" hidden="false" customHeight="false" outlineLevel="0" collapsed="false">
      <c r="A92" s="15" t="s">
        <v>388</v>
      </c>
      <c r="B92" s="15" t="s">
        <v>376</v>
      </c>
      <c r="C92" s="16" t="s">
        <v>377</v>
      </c>
      <c r="D92" s="16" t="s">
        <v>92</v>
      </c>
      <c r="E92" s="16" t="s">
        <v>378</v>
      </c>
      <c r="F92" s="15" t="s">
        <v>29</v>
      </c>
      <c r="G92" s="16" t="s">
        <v>389</v>
      </c>
      <c r="H92" s="16" t="s">
        <v>390</v>
      </c>
      <c r="I92" s="15" t="s">
        <v>32</v>
      </c>
      <c r="J92" s="16" t="s">
        <v>381</v>
      </c>
      <c r="K92" s="17" t="s">
        <v>34</v>
      </c>
      <c r="L92" s="18"/>
      <c r="M92" s="18"/>
      <c r="N92" s="18"/>
      <c r="O92" s="18"/>
    </row>
    <row r="93" customFormat="false" ht="35.05" hidden="false" customHeight="false" outlineLevel="0" collapsed="false">
      <c r="A93" s="15" t="s">
        <v>391</v>
      </c>
      <c r="B93" s="15" t="s">
        <v>376</v>
      </c>
      <c r="C93" s="16" t="s">
        <v>377</v>
      </c>
      <c r="D93" s="16" t="s">
        <v>92</v>
      </c>
      <c r="E93" s="16" t="s">
        <v>378</v>
      </c>
      <c r="F93" s="15" t="s">
        <v>28</v>
      </c>
      <c r="G93" s="16" t="s">
        <v>392</v>
      </c>
      <c r="H93" s="16" t="s">
        <v>393</v>
      </c>
      <c r="I93" s="15" t="s">
        <v>32</v>
      </c>
      <c r="J93" s="16" t="s">
        <v>381</v>
      </c>
      <c r="K93" s="17" t="s">
        <v>34</v>
      </c>
      <c r="L93" s="18"/>
      <c r="M93" s="18"/>
      <c r="N93" s="18"/>
      <c r="O93" s="18"/>
    </row>
    <row r="94" customFormat="false" ht="35.05" hidden="false" customHeight="false" outlineLevel="0" collapsed="false">
      <c r="A94" s="15" t="s">
        <v>394</v>
      </c>
      <c r="B94" s="15" t="s">
        <v>376</v>
      </c>
      <c r="C94" s="16" t="s">
        <v>377</v>
      </c>
      <c r="D94" s="16" t="s">
        <v>92</v>
      </c>
      <c r="E94" s="16" t="s">
        <v>378</v>
      </c>
      <c r="F94" s="15" t="s">
        <v>28</v>
      </c>
      <c r="G94" s="16" t="s">
        <v>395</v>
      </c>
      <c r="H94" s="16" t="s">
        <v>396</v>
      </c>
      <c r="I94" s="15" t="s">
        <v>32</v>
      </c>
      <c r="J94" s="16" t="s">
        <v>381</v>
      </c>
      <c r="K94" s="17" t="s">
        <v>34</v>
      </c>
      <c r="L94" s="18"/>
      <c r="M94" s="18"/>
      <c r="N94" s="18"/>
      <c r="O94" s="18"/>
    </row>
    <row r="95" customFormat="false" ht="35.05" hidden="false" customHeight="false" outlineLevel="0" collapsed="false">
      <c r="A95" s="15" t="s">
        <v>397</v>
      </c>
      <c r="B95" s="15" t="s">
        <v>376</v>
      </c>
      <c r="C95" s="16" t="s">
        <v>377</v>
      </c>
      <c r="D95" s="16" t="s">
        <v>92</v>
      </c>
      <c r="E95" s="16" t="s">
        <v>378</v>
      </c>
      <c r="F95" s="15" t="s">
        <v>30</v>
      </c>
      <c r="G95" s="16" t="s">
        <v>398</v>
      </c>
      <c r="H95" s="16" t="s">
        <v>399</v>
      </c>
      <c r="I95" s="15" t="s">
        <v>31</v>
      </c>
      <c r="J95" s="16" t="s">
        <v>381</v>
      </c>
      <c r="K95" s="17" t="s">
        <v>34</v>
      </c>
      <c r="L95" s="18"/>
      <c r="M95" s="18"/>
      <c r="N95" s="18"/>
      <c r="O95" s="18"/>
    </row>
    <row r="96" customFormat="false" ht="35.05" hidden="false" customHeight="false" outlineLevel="0" collapsed="false">
      <c r="A96" s="15" t="s">
        <v>400</v>
      </c>
      <c r="B96" s="15" t="s">
        <v>376</v>
      </c>
      <c r="C96" s="16" t="s">
        <v>377</v>
      </c>
      <c r="D96" s="16" t="s">
        <v>92</v>
      </c>
      <c r="E96" s="16" t="s">
        <v>378</v>
      </c>
      <c r="F96" s="15" t="s">
        <v>30</v>
      </c>
      <c r="G96" s="16" t="s">
        <v>401</v>
      </c>
      <c r="H96" s="16" t="s">
        <v>402</v>
      </c>
      <c r="I96" s="15" t="s">
        <v>32</v>
      </c>
      <c r="J96" s="16" t="s">
        <v>381</v>
      </c>
      <c r="K96" s="17" t="s">
        <v>34</v>
      </c>
      <c r="L96" s="18"/>
      <c r="M96" s="18"/>
      <c r="N96" s="18"/>
      <c r="O96" s="18"/>
    </row>
    <row r="97" customFormat="false" ht="23.85" hidden="false" customHeight="false" outlineLevel="0" collapsed="false">
      <c r="A97" s="19" t="s">
        <v>403</v>
      </c>
      <c r="B97" s="19" t="s">
        <v>404</v>
      </c>
      <c r="C97" s="20" t="s">
        <v>405</v>
      </c>
      <c r="D97" s="20" t="s">
        <v>92</v>
      </c>
      <c r="E97" s="20" t="s">
        <v>406</v>
      </c>
      <c r="F97" s="19" t="s">
        <v>27</v>
      </c>
      <c r="G97" s="20" t="s">
        <v>215</v>
      </c>
      <c r="H97" s="20" t="s">
        <v>407</v>
      </c>
      <c r="I97" s="19" t="s">
        <v>31</v>
      </c>
      <c r="J97" s="20" t="s">
        <v>408</v>
      </c>
      <c r="K97" s="17" t="s">
        <v>34</v>
      </c>
      <c r="L97" s="18"/>
      <c r="M97" s="18"/>
      <c r="N97" s="18"/>
      <c r="O97" s="18"/>
    </row>
    <row r="98" customFormat="false" ht="23.85" hidden="false" customHeight="false" outlineLevel="0" collapsed="false">
      <c r="A98" s="19" t="s">
        <v>409</v>
      </c>
      <c r="B98" s="19" t="s">
        <v>404</v>
      </c>
      <c r="C98" s="20" t="s">
        <v>405</v>
      </c>
      <c r="D98" s="20" t="s">
        <v>92</v>
      </c>
      <c r="E98" s="20" t="s">
        <v>406</v>
      </c>
      <c r="F98" s="19" t="s">
        <v>27</v>
      </c>
      <c r="G98" s="20" t="s">
        <v>410</v>
      </c>
      <c r="H98" s="20" t="s">
        <v>411</v>
      </c>
      <c r="I98" s="19" t="s">
        <v>31</v>
      </c>
      <c r="J98" s="20" t="s">
        <v>408</v>
      </c>
      <c r="K98" s="17" t="s">
        <v>34</v>
      </c>
      <c r="L98" s="18"/>
      <c r="M98" s="18"/>
      <c r="N98" s="18"/>
      <c r="O98" s="18"/>
    </row>
    <row r="99" customFormat="false" ht="23.85" hidden="false" customHeight="false" outlineLevel="0" collapsed="false">
      <c r="A99" s="19" t="s">
        <v>412</v>
      </c>
      <c r="B99" s="19" t="s">
        <v>404</v>
      </c>
      <c r="C99" s="20" t="s">
        <v>405</v>
      </c>
      <c r="D99" s="20" t="s">
        <v>92</v>
      </c>
      <c r="E99" s="20" t="s">
        <v>406</v>
      </c>
      <c r="F99" s="19" t="s">
        <v>27</v>
      </c>
      <c r="G99" s="20" t="s">
        <v>413</v>
      </c>
      <c r="H99" s="20" t="s">
        <v>414</v>
      </c>
      <c r="I99" s="19" t="s">
        <v>31</v>
      </c>
      <c r="J99" s="20" t="s">
        <v>408</v>
      </c>
      <c r="K99" s="17" t="s">
        <v>34</v>
      </c>
      <c r="L99" s="18"/>
      <c r="M99" s="18"/>
      <c r="N99" s="18"/>
      <c r="O99" s="18"/>
    </row>
    <row r="100" customFormat="false" ht="23.85" hidden="false" customHeight="false" outlineLevel="0" collapsed="false">
      <c r="A100" s="19" t="s">
        <v>415</v>
      </c>
      <c r="B100" s="19" t="s">
        <v>404</v>
      </c>
      <c r="C100" s="20" t="s">
        <v>405</v>
      </c>
      <c r="D100" s="20" t="s">
        <v>92</v>
      </c>
      <c r="E100" s="20" t="s">
        <v>406</v>
      </c>
      <c r="F100" s="19" t="s">
        <v>29</v>
      </c>
      <c r="G100" s="20" t="s">
        <v>416</v>
      </c>
      <c r="H100" s="20" t="s">
        <v>417</v>
      </c>
      <c r="I100" s="19" t="s">
        <v>33</v>
      </c>
      <c r="J100" s="20" t="s">
        <v>408</v>
      </c>
      <c r="K100" s="17" t="s">
        <v>34</v>
      </c>
      <c r="L100" s="18"/>
      <c r="M100" s="18"/>
      <c r="N100" s="18"/>
      <c r="O100" s="18"/>
    </row>
    <row r="101" customFormat="false" ht="23.85" hidden="false" customHeight="false" outlineLevel="0" collapsed="false">
      <c r="A101" s="19" t="s">
        <v>418</v>
      </c>
      <c r="B101" s="19" t="s">
        <v>404</v>
      </c>
      <c r="C101" s="20" t="s">
        <v>405</v>
      </c>
      <c r="D101" s="20" t="s">
        <v>92</v>
      </c>
      <c r="E101" s="20" t="s">
        <v>406</v>
      </c>
      <c r="F101" s="19" t="s">
        <v>28</v>
      </c>
      <c r="G101" s="20" t="s">
        <v>419</v>
      </c>
      <c r="H101" s="20" t="s">
        <v>420</v>
      </c>
      <c r="I101" s="19" t="s">
        <v>32</v>
      </c>
      <c r="J101" s="20" t="s">
        <v>408</v>
      </c>
      <c r="K101" s="17" t="s">
        <v>34</v>
      </c>
      <c r="L101" s="18"/>
      <c r="M101" s="18"/>
      <c r="N101" s="18"/>
      <c r="O101" s="18"/>
    </row>
    <row r="102" customFormat="false" ht="35.05" hidden="false" customHeight="false" outlineLevel="0" collapsed="false">
      <c r="A102" s="15" t="s">
        <v>421</v>
      </c>
      <c r="B102" s="15" t="s">
        <v>422</v>
      </c>
      <c r="C102" s="16" t="s">
        <v>423</v>
      </c>
      <c r="D102" s="16" t="s">
        <v>92</v>
      </c>
      <c r="E102" s="16" t="s">
        <v>424</v>
      </c>
      <c r="F102" s="15" t="s">
        <v>27</v>
      </c>
      <c r="G102" s="16" t="s">
        <v>215</v>
      </c>
      <c r="H102" s="16" t="s">
        <v>425</v>
      </c>
      <c r="I102" s="15" t="s">
        <v>31</v>
      </c>
      <c r="J102" s="16" t="s">
        <v>426</v>
      </c>
      <c r="K102" s="17" t="s">
        <v>34</v>
      </c>
      <c r="L102" s="18"/>
      <c r="M102" s="18"/>
      <c r="N102" s="18"/>
      <c r="O102" s="18"/>
    </row>
    <row r="103" customFormat="false" ht="23.85" hidden="false" customHeight="false" outlineLevel="0" collapsed="false">
      <c r="A103" s="15" t="s">
        <v>427</v>
      </c>
      <c r="B103" s="15" t="s">
        <v>422</v>
      </c>
      <c r="C103" s="16" t="s">
        <v>423</v>
      </c>
      <c r="D103" s="16" t="s">
        <v>92</v>
      </c>
      <c r="E103" s="16" t="s">
        <v>424</v>
      </c>
      <c r="F103" s="15" t="s">
        <v>27</v>
      </c>
      <c r="G103" s="16" t="s">
        <v>428</v>
      </c>
      <c r="H103" s="16" t="s">
        <v>429</v>
      </c>
      <c r="I103" s="15" t="s">
        <v>31</v>
      </c>
      <c r="J103" s="16" t="s">
        <v>426</v>
      </c>
      <c r="K103" s="17" t="s">
        <v>34</v>
      </c>
      <c r="L103" s="18"/>
      <c r="M103" s="18"/>
      <c r="N103" s="18"/>
      <c r="O103" s="18"/>
    </row>
    <row r="104" customFormat="false" ht="23.85" hidden="false" customHeight="false" outlineLevel="0" collapsed="false">
      <c r="A104" s="15" t="s">
        <v>430</v>
      </c>
      <c r="B104" s="15" t="s">
        <v>422</v>
      </c>
      <c r="C104" s="16" t="s">
        <v>423</v>
      </c>
      <c r="D104" s="16" t="s">
        <v>92</v>
      </c>
      <c r="E104" s="16" t="s">
        <v>424</v>
      </c>
      <c r="F104" s="15" t="s">
        <v>27</v>
      </c>
      <c r="G104" s="16" t="s">
        <v>431</v>
      </c>
      <c r="H104" s="16" t="s">
        <v>432</v>
      </c>
      <c r="I104" s="15" t="s">
        <v>31</v>
      </c>
      <c r="J104" s="16" t="s">
        <v>426</v>
      </c>
      <c r="K104" s="17" t="s">
        <v>34</v>
      </c>
      <c r="L104" s="18"/>
      <c r="M104" s="18"/>
      <c r="N104" s="18"/>
      <c r="O104" s="18"/>
    </row>
    <row r="105" customFormat="false" ht="23.85" hidden="false" customHeight="false" outlineLevel="0" collapsed="false">
      <c r="A105" s="15" t="s">
        <v>433</v>
      </c>
      <c r="B105" s="15" t="s">
        <v>422</v>
      </c>
      <c r="C105" s="16" t="s">
        <v>423</v>
      </c>
      <c r="D105" s="16" t="s">
        <v>92</v>
      </c>
      <c r="E105" s="16" t="s">
        <v>424</v>
      </c>
      <c r="F105" s="15" t="s">
        <v>27</v>
      </c>
      <c r="G105" s="16" t="s">
        <v>434</v>
      </c>
      <c r="H105" s="16" t="s">
        <v>435</v>
      </c>
      <c r="I105" s="15" t="s">
        <v>31</v>
      </c>
      <c r="J105" s="16" t="s">
        <v>426</v>
      </c>
      <c r="K105" s="17" t="s">
        <v>34</v>
      </c>
      <c r="L105" s="18"/>
      <c r="M105" s="18"/>
      <c r="N105" s="18"/>
      <c r="O105" s="18"/>
    </row>
    <row r="106" customFormat="false" ht="23.85" hidden="false" customHeight="false" outlineLevel="0" collapsed="false">
      <c r="A106" s="15" t="s">
        <v>436</v>
      </c>
      <c r="B106" s="15" t="s">
        <v>422</v>
      </c>
      <c r="C106" s="16" t="s">
        <v>423</v>
      </c>
      <c r="D106" s="16" t="s">
        <v>92</v>
      </c>
      <c r="E106" s="16" t="s">
        <v>424</v>
      </c>
      <c r="F106" s="15" t="s">
        <v>27</v>
      </c>
      <c r="G106" s="16" t="s">
        <v>437</v>
      </c>
      <c r="H106" s="16" t="s">
        <v>438</v>
      </c>
      <c r="I106" s="15" t="s">
        <v>31</v>
      </c>
      <c r="J106" s="16" t="s">
        <v>426</v>
      </c>
      <c r="K106" s="17" t="s">
        <v>34</v>
      </c>
      <c r="L106" s="18"/>
      <c r="M106" s="18"/>
      <c r="N106" s="18"/>
      <c r="O106" s="18"/>
    </row>
    <row r="107" customFormat="false" ht="23.85" hidden="false" customHeight="false" outlineLevel="0" collapsed="false">
      <c r="A107" s="15" t="s">
        <v>439</v>
      </c>
      <c r="B107" s="15" t="s">
        <v>422</v>
      </c>
      <c r="C107" s="16" t="s">
        <v>423</v>
      </c>
      <c r="D107" s="16" t="s">
        <v>92</v>
      </c>
      <c r="E107" s="16" t="s">
        <v>424</v>
      </c>
      <c r="F107" s="15" t="s">
        <v>29</v>
      </c>
      <c r="G107" s="16" t="s">
        <v>440</v>
      </c>
      <c r="H107" s="16" t="s">
        <v>441</v>
      </c>
      <c r="I107" s="15" t="s">
        <v>33</v>
      </c>
      <c r="J107" s="16" t="s">
        <v>426</v>
      </c>
      <c r="K107" s="17" t="s">
        <v>34</v>
      </c>
      <c r="L107" s="18"/>
      <c r="M107" s="18"/>
      <c r="N107" s="18"/>
      <c r="O107" s="18"/>
    </row>
    <row r="108" customFormat="false" ht="23.85" hidden="false" customHeight="false" outlineLevel="0" collapsed="false">
      <c r="A108" s="15" t="s">
        <v>442</v>
      </c>
      <c r="B108" s="15" t="s">
        <v>422</v>
      </c>
      <c r="C108" s="16" t="s">
        <v>423</v>
      </c>
      <c r="D108" s="16" t="s">
        <v>92</v>
      </c>
      <c r="E108" s="16" t="s">
        <v>424</v>
      </c>
      <c r="F108" s="15" t="s">
        <v>28</v>
      </c>
      <c r="G108" s="16" t="s">
        <v>443</v>
      </c>
      <c r="H108" s="16" t="s">
        <v>444</v>
      </c>
      <c r="I108" s="15" t="s">
        <v>32</v>
      </c>
      <c r="J108" s="16" t="s">
        <v>426</v>
      </c>
      <c r="K108" s="17" t="s">
        <v>34</v>
      </c>
      <c r="L108" s="18"/>
      <c r="M108" s="18"/>
      <c r="N108" s="18"/>
      <c r="O108" s="18"/>
    </row>
    <row r="109" customFormat="false" ht="23.85" hidden="false" customHeight="false" outlineLevel="0" collapsed="false">
      <c r="A109" s="15" t="s">
        <v>445</v>
      </c>
      <c r="B109" s="15" t="s">
        <v>422</v>
      </c>
      <c r="C109" s="16" t="s">
        <v>423</v>
      </c>
      <c r="D109" s="16" t="s">
        <v>92</v>
      </c>
      <c r="E109" s="16" t="s">
        <v>424</v>
      </c>
      <c r="F109" s="15" t="s">
        <v>28</v>
      </c>
      <c r="G109" s="16" t="s">
        <v>446</v>
      </c>
      <c r="H109" s="16" t="s">
        <v>247</v>
      </c>
      <c r="I109" s="15" t="s">
        <v>32</v>
      </c>
      <c r="J109" s="16" t="s">
        <v>426</v>
      </c>
      <c r="K109" s="17" t="s">
        <v>34</v>
      </c>
      <c r="L109" s="18"/>
      <c r="M109" s="18"/>
      <c r="N109" s="18"/>
      <c r="O109" s="18"/>
    </row>
    <row r="110" customFormat="false" ht="23.85" hidden="false" customHeight="false" outlineLevel="0" collapsed="false">
      <c r="A110" s="15" t="s">
        <v>447</v>
      </c>
      <c r="B110" s="15" t="s">
        <v>422</v>
      </c>
      <c r="C110" s="16" t="s">
        <v>423</v>
      </c>
      <c r="D110" s="16" t="s">
        <v>92</v>
      </c>
      <c r="E110" s="16" t="s">
        <v>424</v>
      </c>
      <c r="F110" s="15" t="s">
        <v>30</v>
      </c>
      <c r="G110" s="16" t="s">
        <v>448</v>
      </c>
      <c r="H110" s="16" t="s">
        <v>449</v>
      </c>
      <c r="I110" s="15" t="s">
        <v>31</v>
      </c>
      <c r="J110" s="16" t="s">
        <v>426</v>
      </c>
      <c r="K110" s="17" t="s">
        <v>34</v>
      </c>
      <c r="L110" s="18"/>
      <c r="M110" s="18"/>
      <c r="N110" s="18"/>
      <c r="O110" s="18"/>
    </row>
    <row r="111" customFormat="false" ht="23.85" hidden="false" customHeight="false" outlineLevel="0" collapsed="false">
      <c r="A111" s="19" t="s">
        <v>450</v>
      </c>
      <c r="B111" s="19" t="s">
        <v>451</v>
      </c>
      <c r="C111" s="20" t="s">
        <v>452</v>
      </c>
      <c r="D111" s="20" t="s">
        <v>92</v>
      </c>
      <c r="E111" s="20" t="s">
        <v>453</v>
      </c>
      <c r="F111" s="19" t="s">
        <v>27</v>
      </c>
      <c r="G111" s="20" t="s">
        <v>454</v>
      </c>
      <c r="H111" s="20" t="s">
        <v>455</v>
      </c>
      <c r="I111" s="19" t="s">
        <v>31</v>
      </c>
      <c r="J111" s="20" t="s">
        <v>456</v>
      </c>
      <c r="K111" s="17" t="s">
        <v>34</v>
      </c>
      <c r="L111" s="18"/>
      <c r="M111" s="18"/>
      <c r="N111" s="18"/>
      <c r="O111" s="18"/>
    </row>
    <row r="112" customFormat="false" ht="23.85" hidden="false" customHeight="false" outlineLevel="0" collapsed="false">
      <c r="A112" s="19" t="s">
        <v>457</v>
      </c>
      <c r="B112" s="19" t="s">
        <v>451</v>
      </c>
      <c r="C112" s="20" t="s">
        <v>452</v>
      </c>
      <c r="D112" s="20" t="s">
        <v>92</v>
      </c>
      <c r="E112" s="20" t="s">
        <v>453</v>
      </c>
      <c r="F112" s="19" t="s">
        <v>28</v>
      </c>
      <c r="G112" s="20" t="s">
        <v>458</v>
      </c>
      <c r="H112" s="20" t="s">
        <v>459</v>
      </c>
      <c r="I112" s="19" t="s">
        <v>32</v>
      </c>
      <c r="J112" s="20" t="s">
        <v>456</v>
      </c>
      <c r="K112" s="17" t="s">
        <v>34</v>
      </c>
      <c r="L112" s="18"/>
      <c r="M112" s="18"/>
      <c r="N112" s="18"/>
      <c r="O112" s="18"/>
    </row>
    <row r="113" customFormat="false" ht="15" hidden="false" customHeight="false" outlineLevel="0" collapsed="false">
      <c r="A113" s="19" t="s">
        <v>460</v>
      </c>
      <c r="B113" s="19" t="s">
        <v>451</v>
      </c>
      <c r="C113" s="20" t="s">
        <v>452</v>
      </c>
      <c r="D113" s="20" t="s">
        <v>92</v>
      </c>
      <c r="E113" s="20" t="s">
        <v>453</v>
      </c>
      <c r="F113" s="19" t="s">
        <v>28</v>
      </c>
      <c r="G113" s="20" t="s">
        <v>461</v>
      </c>
      <c r="H113" s="20" t="s">
        <v>462</v>
      </c>
      <c r="I113" s="19" t="s">
        <v>32</v>
      </c>
      <c r="J113" s="20" t="s">
        <v>456</v>
      </c>
      <c r="K113" s="17" t="s">
        <v>34</v>
      </c>
      <c r="L113" s="18"/>
      <c r="M113" s="18"/>
      <c r="N113" s="18"/>
      <c r="O113" s="18"/>
    </row>
    <row r="114" customFormat="false" ht="15" hidden="false" customHeight="false" outlineLevel="0" collapsed="false">
      <c r="A114" s="19" t="s">
        <v>463</v>
      </c>
      <c r="B114" s="19" t="s">
        <v>451</v>
      </c>
      <c r="C114" s="20" t="s">
        <v>452</v>
      </c>
      <c r="D114" s="20" t="s">
        <v>92</v>
      </c>
      <c r="E114" s="20" t="s">
        <v>453</v>
      </c>
      <c r="F114" s="19" t="s">
        <v>28</v>
      </c>
      <c r="G114" s="20" t="s">
        <v>464</v>
      </c>
      <c r="H114" s="20" t="s">
        <v>465</v>
      </c>
      <c r="I114" s="19" t="s">
        <v>32</v>
      </c>
      <c r="J114" s="20" t="s">
        <v>456</v>
      </c>
      <c r="K114" s="17" t="s">
        <v>34</v>
      </c>
      <c r="L114" s="18"/>
      <c r="M114" s="18"/>
      <c r="N114" s="18"/>
      <c r="O114" s="18"/>
    </row>
    <row r="115" customFormat="false" ht="15" hidden="false" customHeight="false" outlineLevel="0" collapsed="false">
      <c r="A115" s="19" t="s">
        <v>466</v>
      </c>
      <c r="B115" s="19" t="s">
        <v>451</v>
      </c>
      <c r="C115" s="20" t="s">
        <v>452</v>
      </c>
      <c r="D115" s="20" t="s">
        <v>92</v>
      </c>
      <c r="E115" s="20" t="s">
        <v>453</v>
      </c>
      <c r="F115" s="19" t="s">
        <v>28</v>
      </c>
      <c r="G115" s="20" t="s">
        <v>467</v>
      </c>
      <c r="H115" s="20" t="s">
        <v>468</v>
      </c>
      <c r="I115" s="19" t="s">
        <v>32</v>
      </c>
      <c r="J115" s="20" t="s">
        <v>456</v>
      </c>
      <c r="K115" s="17" t="s">
        <v>34</v>
      </c>
      <c r="L115" s="18"/>
      <c r="M115" s="18"/>
      <c r="N115" s="18"/>
      <c r="O115" s="18"/>
    </row>
    <row r="116" customFormat="false" ht="15" hidden="false" customHeight="false" outlineLevel="0" collapsed="false">
      <c r="A116" s="19" t="s">
        <v>469</v>
      </c>
      <c r="B116" s="19" t="s">
        <v>451</v>
      </c>
      <c r="C116" s="20" t="s">
        <v>452</v>
      </c>
      <c r="D116" s="20" t="s">
        <v>92</v>
      </c>
      <c r="E116" s="20" t="s">
        <v>453</v>
      </c>
      <c r="F116" s="19" t="s">
        <v>28</v>
      </c>
      <c r="G116" s="20" t="s">
        <v>470</v>
      </c>
      <c r="H116" s="20" t="s">
        <v>471</v>
      </c>
      <c r="I116" s="19" t="s">
        <v>32</v>
      </c>
      <c r="J116" s="20" t="s">
        <v>456</v>
      </c>
      <c r="K116" s="17" t="s">
        <v>34</v>
      </c>
      <c r="L116" s="18"/>
      <c r="M116" s="18"/>
      <c r="N116" s="18"/>
      <c r="O116" s="18"/>
    </row>
    <row r="117" customFormat="false" ht="15" hidden="false" customHeight="false" outlineLevel="0" collapsed="false">
      <c r="A117" s="19" t="s">
        <v>472</v>
      </c>
      <c r="B117" s="19" t="s">
        <v>451</v>
      </c>
      <c r="C117" s="20" t="s">
        <v>452</v>
      </c>
      <c r="D117" s="20" t="s">
        <v>92</v>
      </c>
      <c r="E117" s="20" t="s">
        <v>453</v>
      </c>
      <c r="F117" s="19" t="s">
        <v>28</v>
      </c>
      <c r="G117" s="20" t="s">
        <v>473</v>
      </c>
      <c r="H117" s="20" t="s">
        <v>474</v>
      </c>
      <c r="I117" s="19" t="s">
        <v>32</v>
      </c>
      <c r="J117" s="20" t="s">
        <v>456</v>
      </c>
      <c r="K117" s="17" t="s">
        <v>34</v>
      </c>
      <c r="L117" s="18"/>
      <c r="M117" s="18"/>
      <c r="N117" s="18"/>
      <c r="O117" s="18"/>
    </row>
    <row r="118" customFormat="false" ht="15" hidden="false" customHeight="false" outlineLevel="0" collapsed="false">
      <c r="A118" s="19" t="s">
        <v>475</v>
      </c>
      <c r="B118" s="19" t="s">
        <v>451</v>
      </c>
      <c r="C118" s="20" t="s">
        <v>452</v>
      </c>
      <c r="D118" s="20" t="s">
        <v>92</v>
      </c>
      <c r="E118" s="20" t="s">
        <v>453</v>
      </c>
      <c r="F118" s="19" t="s">
        <v>28</v>
      </c>
      <c r="G118" s="20" t="s">
        <v>476</v>
      </c>
      <c r="H118" s="20" t="s">
        <v>477</v>
      </c>
      <c r="I118" s="19" t="s">
        <v>32</v>
      </c>
      <c r="J118" s="20" t="s">
        <v>456</v>
      </c>
      <c r="K118" s="17" t="s">
        <v>34</v>
      </c>
      <c r="L118" s="18"/>
      <c r="M118" s="18"/>
      <c r="N118" s="18"/>
      <c r="O118" s="18"/>
    </row>
    <row r="119" customFormat="false" ht="15" hidden="false" customHeight="false" outlineLevel="0" collapsed="false">
      <c r="A119" s="19" t="s">
        <v>478</v>
      </c>
      <c r="B119" s="19" t="s">
        <v>451</v>
      </c>
      <c r="C119" s="20" t="s">
        <v>452</v>
      </c>
      <c r="D119" s="20" t="s">
        <v>92</v>
      </c>
      <c r="E119" s="20" t="s">
        <v>453</v>
      </c>
      <c r="F119" s="19" t="s">
        <v>30</v>
      </c>
      <c r="G119" s="20" t="s">
        <v>479</v>
      </c>
      <c r="H119" s="20" t="s">
        <v>480</v>
      </c>
      <c r="I119" s="19" t="s">
        <v>31</v>
      </c>
      <c r="J119" s="20" t="s">
        <v>456</v>
      </c>
      <c r="K119" s="17" t="s">
        <v>34</v>
      </c>
      <c r="L119" s="18"/>
      <c r="M119" s="18"/>
      <c r="N119" s="18"/>
      <c r="O119" s="18"/>
    </row>
    <row r="120" customFormat="false" ht="15" hidden="false" customHeight="false" outlineLevel="0" collapsed="false">
      <c r="A120" s="19" t="s">
        <v>481</v>
      </c>
      <c r="B120" s="19" t="s">
        <v>451</v>
      </c>
      <c r="C120" s="20" t="s">
        <v>452</v>
      </c>
      <c r="D120" s="20" t="s">
        <v>92</v>
      </c>
      <c r="E120" s="20" t="s">
        <v>453</v>
      </c>
      <c r="F120" s="19" t="s">
        <v>30</v>
      </c>
      <c r="G120" s="20" t="s">
        <v>482</v>
      </c>
      <c r="H120" s="20" t="s">
        <v>483</v>
      </c>
      <c r="I120" s="19" t="s">
        <v>31</v>
      </c>
      <c r="J120" s="20" t="s">
        <v>456</v>
      </c>
      <c r="K120" s="17" t="s">
        <v>34</v>
      </c>
      <c r="L120" s="18"/>
      <c r="M120" s="18"/>
      <c r="N120" s="18"/>
      <c r="O120" s="18"/>
    </row>
    <row r="121" customFormat="false" ht="23.85" hidden="false" customHeight="false" outlineLevel="0" collapsed="false">
      <c r="A121" s="19" t="s">
        <v>484</v>
      </c>
      <c r="B121" s="19" t="s">
        <v>451</v>
      </c>
      <c r="C121" s="20" t="s">
        <v>452</v>
      </c>
      <c r="D121" s="20" t="s">
        <v>92</v>
      </c>
      <c r="E121" s="20" t="s">
        <v>453</v>
      </c>
      <c r="F121" s="19" t="s">
        <v>29</v>
      </c>
      <c r="G121" s="20" t="s">
        <v>485</v>
      </c>
      <c r="H121" s="20" t="s">
        <v>486</v>
      </c>
      <c r="I121" s="19" t="s">
        <v>32</v>
      </c>
      <c r="J121" s="20" t="s">
        <v>456</v>
      </c>
      <c r="K121" s="17" t="s">
        <v>34</v>
      </c>
      <c r="L121" s="18"/>
      <c r="M121" s="18"/>
      <c r="N121" s="18"/>
      <c r="O121" s="18"/>
    </row>
    <row r="122" customFormat="false" ht="35.05" hidden="false" customHeight="false" outlineLevel="0" collapsed="false">
      <c r="A122" s="15" t="s">
        <v>487</v>
      </c>
      <c r="B122" s="15" t="s">
        <v>488</v>
      </c>
      <c r="C122" s="16" t="s">
        <v>489</v>
      </c>
      <c r="D122" s="16" t="s">
        <v>92</v>
      </c>
      <c r="E122" s="16" t="s">
        <v>490</v>
      </c>
      <c r="F122" s="15" t="s">
        <v>27</v>
      </c>
      <c r="G122" s="16" t="s">
        <v>215</v>
      </c>
      <c r="H122" s="16" t="s">
        <v>491</v>
      </c>
      <c r="I122" s="15" t="s">
        <v>31</v>
      </c>
      <c r="J122" s="16" t="s">
        <v>492</v>
      </c>
      <c r="K122" s="17" t="s">
        <v>34</v>
      </c>
      <c r="L122" s="18"/>
      <c r="M122" s="18"/>
      <c r="N122" s="18"/>
      <c r="O122" s="18"/>
    </row>
    <row r="123" customFormat="false" ht="35.05" hidden="false" customHeight="false" outlineLevel="0" collapsed="false">
      <c r="A123" s="15" t="s">
        <v>493</v>
      </c>
      <c r="B123" s="15" t="s">
        <v>488</v>
      </c>
      <c r="C123" s="16" t="s">
        <v>489</v>
      </c>
      <c r="D123" s="16" t="s">
        <v>92</v>
      </c>
      <c r="E123" s="16" t="s">
        <v>490</v>
      </c>
      <c r="F123" s="15" t="s">
        <v>27</v>
      </c>
      <c r="G123" s="16" t="s">
        <v>494</v>
      </c>
      <c r="H123" s="16" t="s">
        <v>495</v>
      </c>
      <c r="I123" s="15" t="s">
        <v>31</v>
      </c>
      <c r="J123" s="16" t="s">
        <v>492</v>
      </c>
      <c r="K123" s="17" t="s">
        <v>34</v>
      </c>
      <c r="L123" s="18"/>
      <c r="M123" s="18"/>
      <c r="N123" s="18"/>
      <c r="O123" s="18"/>
    </row>
    <row r="124" customFormat="false" ht="35.05" hidden="false" customHeight="false" outlineLevel="0" collapsed="false">
      <c r="A124" s="15" t="s">
        <v>496</v>
      </c>
      <c r="B124" s="15" t="s">
        <v>488</v>
      </c>
      <c r="C124" s="16" t="s">
        <v>489</v>
      </c>
      <c r="D124" s="16" t="s">
        <v>92</v>
      </c>
      <c r="E124" s="16" t="s">
        <v>490</v>
      </c>
      <c r="F124" s="15" t="s">
        <v>27</v>
      </c>
      <c r="G124" s="16" t="s">
        <v>497</v>
      </c>
      <c r="H124" s="16" t="s">
        <v>498</v>
      </c>
      <c r="I124" s="15" t="s">
        <v>31</v>
      </c>
      <c r="J124" s="16" t="s">
        <v>492</v>
      </c>
      <c r="K124" s="17" t="s">
        <v>34</v>
      </c>
      <c r="L124" s="18"/>
      <c r="M124" s="18"/>
      <c r="N124" s="18"/>
      <c r="O124" s="18"/>
    </row>
    <row r="125" customFormat="false" ht="35.05" hidden="false" customHeight="false" outlineLevel="0" collapsed="false">
      <c r="A125" s="15" t="s">
        <v>499</v>
      </c>
      <c r="B125" s="15" t="s">
        <v>488</v>
      </c>
      <c r="C125" s="16" t="s">
        <v>489</v>
      </c>
      <c r="D125" s="16" t="s">
        <v>92</v>
      </c>
      <c r="E125" s="16" t="s">
        <v>490</v>
      </c>
      <c r="F125" s="15" t="s">
        <v>27</v>
      </c>
      <c r="G125" s="16" t="s">
        <v>500</v>
      </c>
      <c r="H125" s="16" t="s">
        <v>501</v>
      </c>
      <c r="I125" s="15" t="s">
        <v>31</v>
      </c>
      <c r="J125" s="16" t="s">
        <v>492</v>
      </c>
      <c r="K125" s="17" t="s">
        <v>34</v>
      </c>
      <c r="L125" s="18"/>
      <c r="M125" s="18"/>
      <c r="N125" s="18"/>
      <c r="O125" s="18"/>
    </row>
    <row r="126" customFormat="false" ht="35.05" hidden="false" customHeight="false" outlineLevel="0" collapsed="false">
      <c r="A126" s="15" t="s">
        <v>502</v>
      </c>
      <c r="B126" s="15" t="s">
        <v>488</v>
      </c>
      <c r="C126" s="16" t="s">
        <v>489</v>
      </c>
      <c r="D126" s="16" t="s">
        <v>92</v>
      </c>
      <c r="E126" s="16" t="s">
        <v>490</v>
      </c>
      <c r="F126" s="15" t="s">
        <v>27</v>
      </c>
      <c r="G126" s="16" t="s">
        <v>503</v>
      </c>
      <c r="H126" s="16" t="s">
        <v>504</v>
      </c>
      <c r="I126" s="15" t="s">
        <v>31</v>
      </c>
      <c r="J126" s="16" t="s">
        <v>492</v>
      </c>
      <c r="K126" s="17" t="s">
        <v>34</v>
      </c>
      <c r="L126" s="18"/>
      <c r="M126" s="18"/>
      <c r="N126" s="18"/>
      <c r="O126" s="18"/>
    </row>
    <row r="127" customFormat="false" ht="35.05" hidden="false" customHeight="false" outlineLevel="0" collapsed="false">
      <c r="A127" s="15" t="s">
        <v>505</v>
      </c>
      <c r="B127" s="15" t="s">
        <v>488</v>
      </c>
      <c r="C127" s="16" t="s">
        <v>489</v>
      </c>
      <c r="D127" s="16" t="s">
        <v>92</v>
      </c>
      <c r="E127" s="16" t="s">
        <v>490</v>
      </c>
      <c r="F127" s="15" t="s">
        <v>27</v>
      </c>
      <c r="G127" s="16" t="s">
        <v>506</v>
      </c>
      <c r="H127" s="16" t="s">
        <v>507</v>
      </c>
      <c r="I127" s="15" t="s">
        <v>31</v>
      </c>
      <c r="J127" s="16" t="s">
        <v>492</v>
      </c>
      <c r="K127" s="17" t="s">
        <v>34</v>
      </c>
      <c r="L127" s="18"/>
      <c r="M127" s="18"/>
      <c r="N127" s="18"/>
      <c r="O127" s="18"/>
    </row>
    <row r="128" customFormat="false" ht="35.05" hidden="false" customHeight="false" outlineLevel="0" collapsed="false">
      <c r="A128" s="15" t="s">
        <v>508</v>
      </c>
      <c r="B128" s="15" t="s">
        <v>488</v>
      </c>
      <c r="C128" s="16" t="s">
        <v>489</v>
      </c>
      <c r="D128" s="16" t="s">
        <v>92</v>
      </c>
      <c r="E128" s="16" t="s">
        <v>490</v>
      </c>
      <c r="F128" s="15" t="s">
        <v>29</v>
      </c>
      <c r="G128" s="16" t="s">
        <v>509</v>
      </c>
      <c r="H128" s="16" t="s">
        <v>510</v>
      </c>
      <c r="I128" s="15" t="s">
        <v>33</v>
      </c>
      <c r="J128" s="16" t="s">
        <v>492</v>
      </c>
      <c r="K128" s="17" t="s">
        <v>34</v>
      </c>
      <c r="L128" s="18"/>
      <c r="M128" s="18"/>
      <c r="N128" s="18"/>
      <c r="O128" s="18"/>
    </row>
    <row r="129" customFormat="false" ht="35.05" hidden="false" customHeight="false" outlineLevel="0" collapsed="false">
      <c r="A129" s="15" t="s">
        <v>511</v>
      </c>
      <c r="B129" s="15" t="s">
        <v>488</v>
      </c>
      <c r="C129" s="16" t="s">
        <v>489</v>
      </c>
      <c r="D129" s="16" t="s">
        <v>92</v>
      </c>
      <c r="E129" s="16" t="s">
        <v>490</v>
      </c>
      <c r="F129" s="15" t="s">
        <v>28</v>
      </c>
      <c r="G129" s="16" t="s">
        <v>512</v>
      </c>
      <c r="H129" s="16" t="s">
        <v>513</v>
      </c>
      <c r="I129" s="15" t="s">
        <v>32</v>
      </c>
      <c r="J129" s="16" t="s">
        <v>492</v>
      </c>
      <c r="K129" s="17" t="s">
        <v>34</v>
      </c>
      <c r="L129" s="18"/>
      <c r="M129" s="18"/>
      <c r="N129" s="18"/>
      <c r="O129" s="18"/>
    </row>
    <row r="130" customFormat="false" ht="35.05" hidden="false" customHeight="false" outlineLevel="0" collapsed="false">
      <c r="A130" s="15" t="s">
        <v>514</v>
      </c>
      <c r="B130" s="15" t="s">
        <v>488</v>
      </c>
      <c r="C130" s="16" t="s">
        <v>489</v>
      </c>
      <c r="D130" s="16" t="s">
        <v>92</v>
      </c>
      <c r="E130" s="16" t="s">
        <v>490</v>
      </c>
      <c r="F130" s="15" t="s">
        <v>29</v>
      </c>
      <c r="G130" s="16" t="s">
        <v>515</v>
      </c>
      <c r="H130" s="16" t="s">
        <v>516</v>
      </c>
      <c r="I130" s="15" t="s">
        <v>33</v>
      </c>
      <c r="J130" s="16" t="s">
        <v>492</v>
      </c>
      <c r="K130" s="17" t="s">
        <v>34</v>
      </c>
      <c r="L130" s="18"/>
      <c r="M130" s="18"/>
      <c r="N130" s="18"/>
      <c r="O130" s="18"/>
    </row>
    <row r="131" customFormat="false" ht="35.05" hidden="false" customHeight="false" outlineLevel="0" collapsed="false">
      <c r="A131" s="15" t="s">
        <v>517</v>
      </c>
      <c r="B131" s="15" t="s">
        <v>488</v>
      </c>
      <c r="C131" s="16" t="s">
        <v>489</v>
      </c>
      <c r="D131" s="16" t="s">
        <v>92</v>
      </c>
      <c r="E131" s="16" t="s">
        <v>490</v>
      </c>
      <c r="F131" s="15" t="s">
        <v>28</v>
      </c>
      <c r="G131" s="16" t="s">
        <v>518</v>
      </c>
      <c r="H131" s="16" t="s">
        <v>519</v>
      </c>
      <c r="I131" s="15" t="s">
        <v>32</v>
      </c>
      <c r="J131" s="16" t="s">
        <v>492</v>
      </c>
      <c r="K131" s="17" t="s">
        <v>34</v>
      </c>
      <c r="L131" s="18"/>
      <c r="M131" s="18"/>
      <c r="N131" s="18"/>
      <c r="O131" s="18"/>
    </row>
    <row r="132" customFormat="false" ht="35.05" hidden="false" customHeight="false" outlineLevel="0" collapsed="false">
      <c r="A132" s="15" t="s">
        <v>520</v>
      </c>
      <c r="B132" s="15" t="s">
        <v>488</v>
      </c>
      <c r="C132" s="16" t="s">
        <v>489</v>
      </c>
      <c r="D132" s="16" t="s">
        <v>92</v>
      </c>
      <c r="E132" s="16" t="s">
        <v>490</v>
      </c>
      <c r="F132" s="15" t="s">
        <v>29</v>
      </c>
      <c r="G132" s="16" t="s">
        <v>521</v>
      </c>
      <c r="H132" s="16" t="s">
        <v>522</v>
      </c>
      <c r="I132" s="15" t="s">
        <v>33</v>
      </c>
      <c r="J132" s="16" t="s">
        <v>492</v>
      </c>
      <c r="K132" s="17" t="s">
        <v>34</v>
      </c>
      <c r="L132" s="18"/>
      <c r="M132" s="18"/>
      <c r="N132" s="18"/>
      <c r="O132" s="18"/>
    </row>
    <row r="133" customFormat="false" ht="35.05" hidden="false" customHeight="false" outlineLevel="0" collapsed="false">
      <c r="A133" s="15" t="s">
        <v>523</v>
      </c>
      <c r="B133" s="15" t="s">
        <v>488</v>
      </c>
      <c r="C133" s="16" t="s">
        <v>489</v>
      </c>
      <c r="D133" s="16" t="s">
        <v>92</v>
      </c>
      <c r="E133" s="16" t="s">
        <v>490</v>
      </c>
      <c r="F133" s="15" t="s">
        <v>29</v>
      </c>
      <c r="G133" s="16" t="s">
        <v>524</v>
      </c>
      <c r="H133" s="16" t="s">
        <v>525</v>
      </c>
      <c r="I133" s="15" t="s">
        <v>33</v>
      </c>
      <c r="J133" s="16" t="s">
        <v>492</v>
      </c>
      <c r="K133" s="17" t="s">
        <v>34</v>
      </c>
      <c r="L133" s="18"/>
      <c r="M133" s="18"/>
      <c r="N133" s="18"/>
      <c r="O133" s="18"/>
    </row>
    <row r="134" customFormat="false" ht="35.05" hidden="false" customHeight="false" outlineLevel="0" collapsed="false">
      <c r="A134" s="15" t="s">
        <v>526</v>
      </c>
      <c r="B134" s="15" t="s">
        <v>488</v>
      </c>
      <c r="C134" s="16" t="s">
        <v>489</v>
      </c>
      <c r="D134" s="16" t="s">
        <v>92</v>
      </c>
      <c r="E134" s="16" t="s">
        <v>490</v>
      </c>
      <c r="F134" s="15" t="s">
        <v>28</v>
      </c>
      <c r="G134" s="16" t="s">
        <v>527</v>
      </c>
      <c r="H134" s="16" t="s">
        <v>528</v>
      </c>
      <c r="I134" s="15" t="s">
        <v>32</v>
      </c>
      <c r="J134" s="16" t="s">
        <v>492</v>
      </c>
      <c r="K134" s="17" t="s">
        <v>34</v>
      </c>
      <c r="L134" s="18"/>
      <c r="M134" s="18"/>
      <c r="N134" s="18"/>
      <c r="O134" s="18"/>
    </row>
    <row r="135" customFormat="false" ht="35.05" hidden="false" customHeight="false" outlineLevel="0" collapsed="false">
      <c r="A135" s="15" t="s">
        <v>529</v>
      </c>
      <c r="B135" s="15" t="s">
        <v>488</v>
      </c>
      <c r="C135" s="16" t="s">
        <v>489</v>
      </c>
      <c r="D135" s="16" t="s">
        <v>92</v>
      </c>
      <c r="E135" s="16" t="s">
        <v>490</v>
      </c>
      <c r="F135" s="15" t="s">
        <v>29</v>
      </c>
      <c r="G135" s="16" t="s">
        <v>530</v>
      </c>
      <c r="H135" s="16" t="s">
        <v>531</v>
      </c>
      <c r="I135" s="15" t="s">
        <v>33</v>
      </c>
      <c r="J135" s="16" t="s">
        <v>492</v>
      </c>
      <c r="K135" s="17" t="s">
        <v>34</v>
      </c>
      <c r="L135" s="18"/>
      <c r="M135" s="18"/>
      <c r="N135" s="18"/>
      <c r="O135" s="18"/>
    </row>
    <row r="136" customFormat="false" ht="35.05" hidden="false" customHeight="false" outlineLevel="0" collapsed="false">
      <c r="A136" s="15" t="s">
        <v>532</v>
      </c>
      <c r="B136" s="15" t="s">
        <v>488</v>
      </c>
      <c r="C136" s="16" t="s">
        <v>489</v>
      </c>
      <c r="D136" s="16" t="s">
        <v>92</v>
      </c>
      <c r="E136" s="16" t="s">
        <v>490</v>
      </c>
      <c r="F136" s="15" t="s">
        <v>28</v>
      </c>
      <c r="G136" s="16" t="s">
        <v>533</v>
      </c>
      <c r="H136" s="16" t="s">
        <v>247</v>
      </c>
      <c r="I136" s="15" t="s">
        <v>32</v>
      </c>
      <c r="J136" s="16" t="s">
        <v>492</v>
      </c>
      <c r="K136" s="17" t="s">
        <v>34</v>
      </c>
      <c r="L136" s="18"/>
      <c r="M136" s="18"/>
      <c r="N136" s="18"/>
      <c r="O136" s="18"/>
    </row>
    <row r="137" customFormat="false" ht="35.05" hidden="false" customHeight="false" outlineLevel="0" collapsed="false">
      <c r="A137" s="15" t="s">
        <v>534</v>
      </c>
      <c r="B137" s="15" t="s">
        <v>488</v>
      </c>
      <c r="C137" s="16" t="s">
        <v>489</v>
      </c>
      <c r="D137" s="16" t="s">
        <v>92</v>
      </c>
      <c r="E137" s="16" t="s">
        <v>490</v>
      </c>
      <c r="F137" s="15" t="s">
        <v>29</v>
      </c>
      <c r="G137" s="16" t="s">
        <v>535</v>
      </c>
      <c r="H137" s="16" t="s">
        <v>536</v>
      </c>
      <c r="I137" s="15" t="s">
        <v>32</v>
      </c>
      <c r="J137" s="16" t="s">
        <v>492</v>
      </c>
      <c r="K137" s="17" t="s">
        <v>34</v>
      </c>
      <c r="L137" s="18"/>
      <c r="M137" s="18"/>
      <c r="N137" s="18"/>
      <c r="O137" s="18"/>
    </row>
    <row r="138" customFormat="false" ht="46.25" hidden="false" customHeight="false" outlineLevel="0" collapsed="false">
      <c r="A138" s="19" t="s">
        <v>537</v>
      </c>
      <c r="B138" s="19" t="s">
        <v>538</v>
      </c>
      <c r="C138" s="20" t="s">
        <v>539</v>
      </c>
      <c r="D138" s="20" t="s">
        <v>92</v>
      </c>
      <c r="E138" s="20" t="s">
        <v>540</v>
      </c>
      <c r="F138" s="19" t="s">
        <v>27</v>
      </c>
      <c r="G138" s="20" t="s">
        <v>541</v>
      </c>
      <c r="H138" s="20" t="s">
        <v>542</v>
      </c>
      <c r="I138" s="19" t="s">
        <v>31</v>
      </c>
      <c r="J138" s="20" t="s">
        <v>543</v>
      </c>
      <c r="K138" s="17" t="s">
        <v>34</v>
      </c>
      <c r="L138" s="18"/>
      <c r="M138" s="18"/>
      <c r="N138" s="18"/>
      <c r="O138" s="18"/>
    </row>
    <row r="139" customFormat="false" ht="46.25" hidden="false" customHeight="false" outlineLevel="0" collapsed="false">
      <c r="A139" s="19" t="s">
        <v>544</v>
      </c>
      <c r="B139" s="19" t="s">
        <v>538</v>
      </c>
      <c r="C139" s="20" t="s">
        <v>539</v>
      </c>
      <c r="D139" s="20" t="s">
        <v>92</v>
      </c>
      <c r="E139" s="20" t="s">
        <v>540</v>
      </c>
      <c r="F139" s="19" t="s">
        <v>28</v>
      </c>
      <c r="G139" s="20" t="s">
        <v>545</v>
      </c>
      <c r="H139" s="20" t="s">
        <v>546</v>
      </c>
      <c r="I139" s="19" t="s">
        <v>32</v>
      </c>
      <c r="J139" s="20" t="s">
        <v>543</v>
      </c>
      <c r="K139" s="17" t="s">
        <v>34</v>
      </c>
      <c r="L139" s="18"/>
      <c r="M139" s="18"/>
      <c r="N139" s="18"/>
      <c r="O139" s="18"/>
    </row>
    <row r="140" customFormat="false" ht="46.25" hidden="false" customHeight="false" outlineLevel="0" collapsed="false">
      <c r="A140" s="19" t="s">
        <v>547</v>
      </c>
      <c r="B140" s="19" t="s">
        <v>538</v>
      </c>
      <c r="C140" s="20" t="s">
        <v>539</v>
      </c>
      <c r="D140" s="20" t="s">
        <v>92</v>
      </c>
      <c r="E140" s="20" t="s">
        <v>540</v>
      </c>
      <c r="F140" s="19" t="s">
        <v>28</v>
      </c>
      <c r="G140" s="20" t="s">
        <v>548</v>
      </c>
      <c r="H140" s="20" t="s">
        <v>549</v>
      </c>
      <c r="I140" s="19" t="s">
        <v>32</v>
      </c>
      <c r="J140" s="20" t="s">
        <v>543</v>
      </c>
      <c r="K140" s="17" t="s">
        <v>34</v>
      </c>
      <c r="L140" s="18"/>
      <c r="M140" s="18"/>
      <c r="N140" s="18"/>
      <c r="O140" s="18"/>
    </row>
    <row r="141" customFormat="false" ht="46.25" hidden="false" customHeight="false" outlineLevel="0" collapsed="false">
      <c r="A141" s="19" t="s">
        <v>550</v>
      </c>
      <c r="B141" s="19" t="s">
        <v>538</v>
      </c>
      <c r="C141" s="20" t="s">
        <v>539</v>
      </c>
      <c r="D141" s="20" t="s">
        <v>92</v>
      </c>
      <c r="E141" s="20" t="s">
        <v>540</v>
      </c>
      <c r="F141" s="19" t="s">
        <v>28</v>
      </c>
      <c r="G141" s="20" t="s">
        <v>551</v>
      </c>
      <c r="H141" s="20" t="s">
        <v>549</v>
      </c>
      <c r="I141" s="19" t="s">
        <v>32</v>
      </c>
      <c r="J141" s="20" t="s">
        <v>543</v>
      </c>
      <c r="K141" s="17" t="s">
        <v>34</v>
      </c>
      <c r="L141" s="18"/>
      <c r="M141" s="18"/>
      <c r="N141" s="18"/>
      <c r="O141" s="18"/>
    </row>
    <row r="142" customFormat="false" ht="46.25" hidden="false" customHeight="false" outlineLevel="0" collapsed="false">
      <c r="A142" s="19" t="s">
        <v>552</v>
      </c>
      <c r="B142" s="19" t="s">
        <v>538</v>
      </c>
      <c r="C142" s="20" t="s">
        <v>539</v>
      </c>
      <c r="D142" s="20" t="s">
        <v>92</v>
      </c>
      <c r="E142" s="20" t="s">
        <v>540</v>
      </c>
      <c r="F142" s="19" t="s">
        <v>29</v>
      </c>
      <c r="G142" s="20" t="s">
        <v>553</v>
      </c>
      <c r="H142" s="20" t="s">
        <v>554</v>
      </c>
      <c r="I142" s="19" t="s">
        <v>33</v>
      </c>
      <c r="J142" s="20" t="s">
        <v>543</v>
      </c>
      <c r="K142" s="17" t="s">
        <v>34</v>
      </c>
      <c r="L142" s="18"/>
      <c r="M142" s="18"/>
      <c r="N142" s="18"/>
      <c r="O142" s="18"/>
    </row>
    <row r="143" customFormat="false" ht="46.25" hidden="false" customHeight="false" outlineLevel="0" collapsed="false">
      <c r="A143" s="19" t="s">
        <v>555</v>
      </c>
      <c r="B143" s="19" t="s">
        <v>538</v>
      </c>
      <c r="C143" s="20" t="s">
        <v>539</v>
      </c>
      <c r="D143" s="20" t="s">
        <v>92</v>
      </c>
      <c r="E143" s="20" t="s">
        <v>540</v>
      </c>
      <c r="F143" s="19" t="s">
        <v>29</v>
      </c>
      <c r="G143" s="20" t="s">
        <v>556</v>
      </c>
      <c r="H143" s="20" t="s">
        <v>557</v>
      </c>
      <c r="I143" s="19" t="s">
        <v>33</v>
      </c>
      <c r="J143" s="20" t="s">
        <v>543</v>
      </c>
      <c r="K143" s="17" t="s">
        <v>34</v>
      </c>
      <c r="L143" s="18"/>
      <c r="M143" s="18"/>
      <c r="N143" s="18"/>
      <c r="O143" s="18"/>
    </row>
    <row r="144" customFormat="false" ht="23.85" hidden="false" customHeight="false" outlineLevel="0" collapsed="false">
      <c r="A144" s="15" t="s">
        <v>558</v>
      </c>
      <c r="B144" s="15" t="s">
        <v>559</v>
      </c>
      <c r="C144" s="16" t="s">
        <v>560</v>
      </c>
      <c r="D144" s="16" t="s">
        <v>70</v>
      </c>
      <c r="E144" s="16" t="s">
        <v>561</v>
      </c>
      <c r="F144" s="15" t="s">
        <v>27</v>
      </c>
      <c r="G144" s="16" t="s">
        <v>562</v>
      </c>
      <c r="H144" s="16" t="s">
        <v>563</v>
      </c>
      <c r="I144" s="15" t="s">
        <v>31</v>
      </c>
      <c r="J144" s="16" t="s">
        <v>564</v>
      </c>
      <c r="K144" s="17" t="s">
        <v>34</v>
      </c>
      <c r="L144" s="18"/>
      <c r="M144" s="18"/>
      <c r="N144" s="18"/>
      <c r="O144" s="18"/>
    </row>
    <row r="145" customFormat="false" ht="23.85" hidden="false" customHeight="false" outlineLevel="0" collapsed="false">
      <c r="A145" s="15" t="s">
        <v>565</v>
      </c>
      <c r="B145" s="15" t="s">
        <v>559</v>
      </c>
      <c r="C145" s="16" t="s">
        <v>560</v>
      </c>
      <c r="D145" s="16" t="s">
        <v>70</v>
      </c>
      <c r="E145" s="16" t="s">
        <v>561</v>
      </c>
      <c r="F145" s="15" t="s">
        <v>28</v>
      </c>
      <c r="G145" s="16" t="s">
        <v>566</v>
      </c>
      <c r="H145" s="16" t="s">
        <v>567</v>
      </c>
      <c r="I145" s="15" t="s">
        <v>32</v>
      </c>
      <c r="J145" s="16" t="s">
        <v>564</v>
      </c>
      <c r="K145" s="17" t="s">
        <v>34</v>
      </c>
      <c r="L145" s="18"/>
      <c r="M145" s="18"/>
      <c r="N145" s="18"/>
      <c r="O145" s="18"/>
    </row>
    <row r="146" customFormat="false" ht="23.85" hidden="false" customHeight="false" outlineLevel="0" collapsed="false">
      <c r="A146" s="15" t="s">
        <v>568</v>
      </c>
      <c r="B146" s="15" t="s">
        <v>559</v>
      </c>
      <c r="C146" s="16" t="s">
        <v>560</v>
      </c>
      <c r="D146" s="16" t="s">
        <v>70</v>
      </c>
      <c r="E146" s="16" t="s">
        <v>561</v>
      </c>
      <c r="F146" s="15" t="s">
        <v>28</v>
      </c>
      <c r="G146" s="16" t="s">
        <v>569</v>
      </c>
      <c r="H146" s="16" t="s">
        <v>570</v>
      </c>
      <c r="I146" s="15" t="s">
        <v>32</v>
      </c>
      <c r="J146" s="16" t="s">
        <v>564</v>
      </c>
      <c r="K146" s="17" t="s">
        <v>34</v>
      </c>
      <c r="L146" s="18"/>
      <c r="M146" s="18"/>
      <c r="N146" s="18"/>
      <c r="O146" s="18"/>
    </row>
    <row r="147" customFormat="false" ht="23.85" hidden="false" customHeight="false" outlineLevel="0" collapsed="false">
      <c r="A147" s="15" t="s">
        <v>571</v>
      </c>
      <c r="B147" s="15" t="s">
        <v>559</v>
      </c>
      <c r="C147" s="16" t="s">
        <v>560</v>
      </c>
      <c r="D147" s="16" t="s">
        <v>70</v>
      </c>
      <c r="E147" s="16" t="s">
        <v>561</v>
      </c>
      <c r="F147" s="15" t="s">
        <v>28</v>
      </c>
      <c r="G147" s="16" t="s">
        <v>572</v>
      </c>
      <c r="H147" s="16" t="s">
        <v>573</v>
      </c>
      <c r="I147" s="15" t="s">
        <v>32</v>
      </c>
      <c r="J147" s="16" t="s">
        <v>564</v>
      </c>
      <c r="K147" s="17" t="s">
        <v>34</v>
      </c>
      <c r="L147" s="18"/>
      <c r="M147" s="18"/>
      <c r="N147" s="18"/>
      <c r="O147" s="18"/>
    </row>
    <row r="148" customFormat="false" ht="23.85" hidden="false" customHeight="false" outlineLevel="0" collapsed="false">
      <c r="A148" s="15" t="s">
        <v>574</v>
      </c>
      <c r="B148" s="15" t="s">
        <v>559</v>
      </c>
      <c r="C148" s="16" t="s">
        <v>560</v>
      </c>
      <c r="D148" s="16" t="s">
        <v>70</v>
      </c>
      <c r="E148" s="16" t="s">
        <v>561</v>
      </c>
      <c r="F148" s="15" t="s">
        <v>28</v>
      </c>
      <c r="G148" s="16" t="s">
        <v>575</v>
      </c>
      <c r="H148" s="16" t="s">
        <v>576</v>
      </c>
      <c r="I148" s="15" t="s">
        <v>32</v>
      </c>
      <c r="J148" s="16" t="s">
        <v>564</v>
      </c>
      <c r="K148" s="17" t="s">
        <v>34</v>
      </c>
      <c r="L148" s="18"/>
      <c r="M148" s="18"/>
      <c r="N148" s="18"/>
      <c r="O148" s="18"/>
    </row>
    <row r="149" customFormat="false" ht="23.85" hidden="false" customHeight="false" outlineLevel="0" collapsed="false">
      <c r="A149" s="15" t="s">
        <v>577</v>
      </c>
      <c r="B149" s="15" t="s">
        <v>559</v>
      </c>
      <c r="C149" s="16" t="s">
        <v>560</v>
      </c>
      <c r="D149" s="16" t="s">
        <v>70</v>
      </c>
      <c r="E149" s="16" t="s">
        <v>561</v>
      </c>
      <c r="F149" s="15" t="s">
        <v>28</v>
      </c>
      <c r="G149" s="16" t="s">
        <v>578</v>
      </c>
      <c r="H149" s="16" t="s">
        <v>579</v>
      </c>
      <c r="I149" s="15" t="s">
        <v>32</v>
      </c>
      <c r="J149" s="16" t="s">
        <v>564</v>
      </c>
      <c r="K149" s="17" t="s">
        <v>34</v>
      </c>
      <c r="L149" s="18"/>
      <c r="M149" s="18"/>
      <c r="N149" s="18"/>
      <c r="O149" s="18"/>
    </row>
    <row r="150" customFormat="false" ht="23.85" hidden="false" customHeight="false" outlineLevel="0" collapsed="false">
      <c r="A150" s="15" t="s">
        <v>580</v>
      </c>
      <c r="B150" s="15" t="s">
        <v>559</v>
      </c>
      <c r="C150" s="16" t="s">
        <v>560</v>
      </c>
      <c r="D150" s="16" t="s">
        <v>70</v>
      </c>
      <c r="E150" s="16" t="s">
        <v>561</v>
      </c>
      <c r="F150" s="15" t="s">
        <v>28</v>
      </c>
      <c r="G150" s="16" t="s">
        <v>581</v>
      </c>
      <c r="H150" s="16" t="s">
        <v>582</v>
      </c>
      <c r="I150" s="15" t="s">
        <v>32</v>
      </c>
      <c r="J150" s="16" t="s">
        <v>564</v>
      </c>
      <c r="K150" s="17" t="s">
        <v>34</v>
      </c>
      <c r="L150" s="18"/>
      <c r="M150" s="18"/>
      <c r="N150" s="18"/>
      <c r="O150" s="18"/>
    </row>
    <row r="151" customFormat="false" ht="23.85" hidden="false" customHeight="false" outlineLevel="0" collapsed="false">
      <c r="A151" s="15" t="s">
        <v>583</v>
      </c>
      <c r="B151" s="15" t="s">
        <v>559</v>
      </c>
      <c r="C151" s="16" t="s">
        <v>560</v>
      </c>
      <c r="D151" s="16" t="s">
        <v>70</v>
      </c>
      <c r="E151" s="16" t="s">
        <v>561</v>
      </c>
      <c r="F151" s="15" t="s">
        <v>28</v>
      </c>
      <c r="G151" s="16" t="s">
        <v>584</v>
      </c>
      <c r="H151" s="16" t="s">
        <v>585</v>
      </c>
      <c r="I151" s="15" t="s">
        <v>32</v>
      </c>
      <c r="J151" s="16" t="s">
        <v>564</v>
      </c>
      <c r="K151" s="17" t="s">
        <v>34</v>
      </c>
      <c r="L151" s="18"/>
      <c r="M151" s="18"/>
      <c r="N151" s="18"/>
      <c r="O151" s="18"/>
    </row>
    <row r="152" customFormat="false" ht="23.85" hidden="false" customHeight="false" outlineLevel="0" collapsed="false">
      <c r="A152" s="15" t="s">
        <v>586</v>
      </c>
      <c r="B152" s="15" t="s">
        <v>559</v>
      </c>
      <c r="C152" s="16" t="s">
        <v>560</v>
      </c>
      <c r="D152" s="16" t="s">
        <v>70</v>
      </c>
      <c r="E152" s="16" t="s">
        <v>561</v>
      </c>
      <c r="F152" s="15" t="s">
        <v>27</v>
      </c>
      <c r="G152" s="16" t="s">
        <v>587</v>
      </c>
      <c r="H152" s="16" t="s">
        <v>588</v>
      </c>
      <c r="I152" s="15" t="s">
        <v>31</v>
      </c>
      <c r="J152" s="16" t="s">
        <v>564</v>
      </c>
      <c r="K152" s="17" t="s">
        <v>34</v>
      </c>
      <c r="L152" s="18"/>
      <c r="M152" s="18"/>
      <c r="N152" s="18"/>
      <c r="O152" s="18"/>
    </row>
    <row r="153" customFormat="false" ht="23.85" hidden="false" customHeight="false" outlineLevel="0" collapsed="false">
      <c r="A153" s="15" t="s">
        <v>589</v>
      </c>
      <c r="B153" s="15" t="s">
        <v>559</v>
      </c>
      <c r="C153" s="16" t="s">
        <v>560</v>
      </c>
      <c r="D153" s="16" t="s">
        <v>70</v>
      </c>
      <c r="E153" s="16" t="s">
        <v>561</v>
      </c>
      <c r="F153" s="15" t="s">
        <v>27</v>
      </c>
      <c r="G153" s="16" t="s">
        <v>590</v>
      </c>
      <c r="H153" s="16" t="s">
        <v>591</v>
      </c>
      <c r="I153" s="15" t="s">
        <v>31</v>
      </c>
      <c r="J153" s="16" t="s">
        <v>564</v>
      </c>
      <c r="K153" s="17" t="s">
        <v>34</v>
      </c>
      <c r="L153" s="18"/>
      <c r="M153" s="18"/>
      <c r="N153" s="18"/>
      <c r="O153" s="18"/>
    </row>
    <row r="154" customFormat="false" ht="23.85" hidden="false" customHeight="false" outlineLevel="0" collapsed="false">
      <c r="A154" s="15" t="s">
        <v>592</v>
      </c>
      <c r="B154" s="15" t="s">
        <v>559</v>
      </c>
      <c r="C154" s="16" t="s">
        <v>560</v>
      </c>
      <c r="D154" s="16" t="s">
        <v>70</v>
      </c>
      <c r="E154" s="16" t="s">
        <v>561</v>
      </c>
      <c r="F154" s="15" t="s">
        <v>29</v>
      </c>
      <c r="G154" s="16" t="s">
        <v>593</v>
      </c>
      <c r="H154" s="16" t="s">
        <v>594</v>
      </c>
      <c r="I154" s="15" t="s">
        <v>33</v>
      </c>
      <c r="J154" s="16" t="s">
        <v>564</v>
      </c>
      <c r="K154" s="17" t="s">
        <v>34</v>
      </c>
      <c r="L154" s="18"/>
      <c r="M154" s="18"/>
      <c r="N154" s="18"/>
      <c r="O154" s="18"/>
    </row>
    <row r="155" customFormat="false" ht="23.85" hidden="false" customHeight="false" outlineLevel="0" collapsed="false">
      <c r="A155" s="15" t="s">
        <v>595</v>
      </c>
      <c r="B155" s="15" t="s">
        <v>559</v>
      </c>
      <c r="C155" s="16" t="s">
        <v>560</v>
      </c>
      <c r="D155" s="16" t="s">
        <v>70</v>
      </c>
      <c r="E155" s="16" t="s">
        <v>561</v>
      </c>
      <c r="F155" s="15" t="s">
        <v>27</v>
      </c>
      <c r="G155" s="16" t="s">
        <v>596</v>
      </c>
      <c r="H155" s="16" t="s">
        <v>597</v>
      </c>
      <c r="I155" s="15" t="s">
        <v>31</v>
      </c>
      <c r="J155" s="16" t="s">
        <v>564</v>
      </c>
      <c r="K155" s="17" t="s">
        <v>34</v>
      </c>
      <c r="L155" s="18"/>
      <c r="M155" s="18"/>
      <c r="N155" s="18"/>
      <c r="O155" s="18"/>
    </row>
    <row r="156" customFormat="false" ht="23.85" hidden="false" customHeight="false" outlineLevel="0" collapsed="false">
      <c r="A156" s="15" t="s">
        <v>598</v>
      </c>
      <c r="B156" s="15" t="s">
        <v>559</v>
      </c>
      <c r="C156" s="16" t="s">
        <v>560</v>
      </c>
      <c r="D156" s="16" t="s">
        <v>70</v>
      </c>
      <c r="E156" s="16" t="s">
        <v>561</v>
      </c>
      <c r="F156" s="15" t="s">
        <v>28</v>
      </c>
      <c r="G156" s="16" t="s">
        <v>599</v>
      </c>
      <c r="H156" s="16" t="s">
        <v>600</v>
      </c>
      <c r="I156" s="15" t="s">
        <v>32</v>
      </c>
      <c r="J156" s="16" t="s">
        <v>564</v>
      </c>
      <c r="K156" s="17" t="s">
        <v>34</v>
      </c>
      <c r="L156" s="18"/>
      <c r="M156" s="18"/>
      <c r="N156" s="18"/>
      <c r="O156" s="18"/>
    </row>
    <row r="157" customFormat="false" ht="23.85" hidden="false" customHeight="false" outlineLevel="0" collapsed="false">
      <c r="A157" s="15" t="s">
        <v>601</v>
      </c>
      <c r="B157" s="15" t="s">
        <v>559</v>
      </c>
      <c r="C157" s="16" t="s">
        <v>560</v>
      </c>
      <c r="D157" s="16" t="s">
        <v>70</v>
      </c>
      <c r="E157" s="16" t="s">
        <v>561</v>
      </c>
      <c r="F157" s="15" t="s">
        <v>28</v>
      </c>
      <c r="G157" s="16" t="s">
        <v>602</v>
      </c>
      <c r="H157" s="16" t="s">
        <v>603</v>
      </c>
      <c r="I157" s="15" t="s">
        <v>32</v>
      </c>
      <c r="J157" s="16" t="s">
        <v>564</v>
      </c>
      <c r="K157" s="17" t="s">
        <v>34</v>
      </c>
      <c r="L157" s="18"/>
      <c r="M157" s="18"/>
      <c r="N157" s="18"/>
      <c r="O157" s="18"/>
    </row>
    <row r="158" customFormat="false" ht="23.85" hidden="false" customHeight="false" outlineLevel="0" collapsed="false">
      <c r="A158" s="15" t="s">
        <v>604</v>
      </c>
      <c r="B158" s="15" t="s">
        <v>559</v>
      </c>
      <c r="C158" s="16" t="s">
        <v>560</v>
      </c>
      <c r="D158" s="16" t="s">
        <v>70</v>
      </c>
      <c r="E158" s="16" t="s">
        <v>561</v>
      </c>
      <c r="F158" s="15" t="s">
        <v>29</v>
      </c>
      <c r="G158" s="16" t="s">
        <v>605</v>
      </c>
      <c r="H158" s="16" t="s">
        <v>606</v>
      </c>
      <c r="I158" s="15" t="s">
        <v>33</v>
      </c>
      <c r="J158" s="16" t="s">
        <v>564</v>
      </c>
      <c r="K158" s="17" t="s">
        <v>34</v>
      </c>
      <c r="L158" s="18"/>
      <c r="M158" s="18"/>
      <c r="N158" s="18"/>
      <c r="O158" s="18"/>
    </row>
    <row r="159" customFormat="false" ht="23.85" hidden="false" customHeight="false" outlineLevel="0" collapsed="false">
      <c r="A159" s="19" t="s">
        <v>607</v>
      </c>
      <c r="B159" s="19" t="s">
        <v>608</v>
      </c>
      <c r="C159" s="20" t="s">
        <v>609</v>
      </c>
      <c r="D159" s="20" t="s">
        <v>70</v>
      </c>
      <c r="E159" s="20" t="s">
        <v>610</v>
      </c>
      <c r="F159" s="19" t="s">
        <v>27</v>
      </c>
      <c r="G159" s="20" t="s">
        <v>611</v>
      </c>
      <c r="H159" s="20" t="s">
        <v>612</v>
      </c>
      <c r="I159" s="19" t="s">
        <v>31</v>
      </c>
      <c r="J159" s="20" t="s">
        <v>613</v>
      </c>
      <c r="K159" s="17" t="s">
        <v>34</v>
      </c>
      <c r="L159" s="18"/>
      <c r="M159" s="18"/>
      <c r="N159" s="18"/>
      <c r="O159" s="18"/>
    </row>
    <row r="160" customFormat="false" ht="23.85" hidden="false" customHeight="false" outlineLevel="0" collapsed="false">
      <c r="A160" s="19" t="s">
        <v>614</v>
      </c>
      <c r="B160" s="19" t="s">
        <v>608</v>
      </c>
      <c r="C160" s="20" t="s">
        <v>609</v>
      </c>
      <c r="D160" s="20" t="s">
        <v>70</v>
      </c>
      <c r="E160" s="20" t="s">
        <v>610</v>
      </c>
      <c r="F160" s="19" t="s">
        <v>28</v>
      </c>
      <c r="G160" s="20" t="s">
        <v>615</v>
      </c>
      <c r="H160" s="20" t="s">
        <v>37</v>
      </c>
      <c r="I160" s="19" t="s">
        <v>32</v>
      </c>
      <c r="J160" s="20" t="s">
        <v>613</v>
      </c>
      <c r="K160" s="17" t="s">
        <v>34</v>
      </c>
      <c r="L160" s="18"/>
      <c r="M160" s="18"/>
      <c r="N160" s="18"/>
      <c r="O160" s="18"/>
    </row>
    <row r="161" customFormat="false" ht="35.05" hidden="false" customHeight="false" outlineLevel="0" collapsed="false">
      <c r="A161" s="19" t="s">
        <v>616</v>
      </c>
      <c r="B161" s="19" t="s">
        <v>608</v>
      </c>
      <c r="C161" s="20" t="s">
        <v>609</v>
      </c>
      <c r="D161" s="20" t="s">
        <v>70</v>
      </c>
      <c r="E161" s="20" t="s">
        <v>610</v>
      </c>
      <c r="F161" s="19" t="s">
        <v>27</v>
      </c>
      <c r="G161" s="20" t="s">
        <v>617</v>
      </c>
      <c r="H161" s="20" t="s">
        <v>618</v>
      </c>
      <c r="I161" s="19" t="s">
        <v>31</v>
      </c>
      <c r="J161" s="20" t="s">
        <v>613</v>
      </c>
      <c r="K161" s="17" t="s">
        <v>34</v>
      </c>
      <c r="L161" s="18"/>
      <c r="M161" s="18"/>
      <c r="N161" s="18"/>
      <c r="O161" s="18"/>
    </row>
    <row r="162" customFormat="false" ht="23.85" hidden="false" customHeight="false" outlineLevel="0" collapsed="false">
      <c r="A162" s="19" t="s">
        <v>619</v>
      </c>
      <c r="B162" s="19" t="s">
        <v>608</v>
      </c>
      <c r="C162" s="20" t="s">
        <v>609</v>
      </c>
      <c r="D162" s="20" t="s">
        <v>70</v>
      </c>
      <c r="E162" s="20" t="s">
        <v>610</v>
      </c>
      <c r="F162" s="19" t="s">
        <v>28</v>
      </c>
      <c r="G162" s="20" t="s">
        <v>620</v>
      </c>
      <c r="H162" s="20" t="s">
        <v>621</v>
      </c>
      <c r="I162" s="19" t="s">
        <v>32</v>
      </c>
      <c r="J162" s="20" t="s">
        <v>613</v>
      </c>
      <c r="K162" s="17" t="s">
        <v>34</v>
      </c>
      <c r="L162" s="18"/>
      <c r="M162" s="18"/>
      <c r="N162" s="18"/>
      <c r="O162" s="18"/>
    </row>
    <row r="163" customFormat="false" ht="23.85" hidden="false" customHeight="false" outlineLevel="0" collapsed="false">
      <c r="A163" s="19" t="s">
        <v>622</v>
      </c>
      <c r="B163" s="19" t="s">
        <v>608</v>
      </c>
      <c r="C163" s="20" t="s">
        <v>609</v>
      </c>
      <c r="D163" s="20" t="s">
        <v>70</v>
      </c>
      <c r="E163" s="20" t="s">
        <v>610</v>
      </c>
      <c r="F163" s="19" t="s">
        <v>28</v>
      </c>
      <c r="G163" s="20" t="s">
        <v>623</v>
      </c>
      <c r="H163" s="20" t="s">
        <v>624</v>
      </c>
      <c r="I163" s="19" t="s">
        <v>32</v>
      </c>
      <c r="J163" s="20" t="s">
        <v>613</v>
      </c>
      <c r="K163" s="17" t="s">
        <v>34</v>
      </c>
      <c r="L163" s="18"/>
      <c r="M163" s="18"/>
      <c r="N163" s="18"/>
      <c r="O163" s="18"/>
    </row>
    <row r="164" customFormat="false" ht="23.85" hidden="false" customHeight="false" outlineLevel="0" collapsed="false">
      <c r="A164" s="19" t="s">
        <v>625</v>
      </c>
      <c r="B164" s="19" t="s">
        <v>608</v>
      </c>
      <c r="C164" s="20" t="s">
        <v>609</v>
      </c>
      <c r="D164" s="20" t="s">
        <v>70</v>
      </c>
      <c r="E164" s="20" t="s">
        <v>610</v>
      </c>
      <c r="F164" s="19" t="s">
        <v>28</v>
      </c>
      <c r="G164" s="20" t="s">
        <v>626</v>
      </c>
      <c r="H164" s="20" t="s">
        <v>627</v>
      </c>
      <c r="I164" s="19" t="s">
        <v>32</v>
      </c>
      <c r="J164" s="20" t="s">
        <v>613</v>
      </c>
      <c r="K164" s="17" t="s">
        <v>34</v>
      </c>
      <c r="L164" s="18"/>
      <c r="M164" s="18"/>
      <c r="N164" s="18"/>
      <c r="O164" s="18"/>
    </row>
    <row r="165" customFormat="false" ht="23.85" hidden="false" customHeight="false" outlineLevel="0" collapsed="false">
      <c r="A165" s="19" t="s">
        <v>628</v>
      </c>
      <c r="B165" s="19" t="s">
        <v>608</v>
      </c>
      <c r="C165" s="20" t="s">
        <v>609</v>
      </c>
      <c r="D165" s="20" t="s">
        <v>70</v>
      </c>
      <c r="E165" s="20" t="s">
        <v>610</v>
      </c>
      <c r="F165" s="19" t="s">
        <v>28</v>
      </c>
      <c r="G165" s="20" t="s">
        <v>629</v>
      </c>
      <c r="H165" s="20" t="s">
        <v>630</v>
      </c>
      <c r="I165" s="19" t="s">
        <v>32</v>
      </c>
      <c r="J165" s="20" t="s">
        <v>613</v>
      </c>
      <c r="K165" s="17" t="s">
        <v>34</v>
      </c>
      <c r="L165" s="18"/>
      <c r="M165" s="18"/>
      <c r="N165" s="18"/>
      <c r="O165" s="18"/>
    </row>
    <row r="166" customFormat="false" ht="35.05" hidden="false" customHeight="false" outlineLevel="0" collapsed="false">
      <c r="A166" s="15" t="s">
        <v>631</v>
      </c>
      <c r="B166" s="15" t="s">
        <v>632</v>
      </c>
      <c r="C166" s="16" t="s">
        <v>633</v>
      </c>
      <c r="D166" s="16" t="s">
        <v>70</v>
      </c>
      <c r="E166" s="16" t="s">
        <v>634</v>
      </c>
      <c r="F166" s="15" t="s">
        <v>27</v>
      </c>
      <c r="G166" s="16" t="s">
        <v>635</v>
      </c>
      <c r="H166" s="16" t="s">
        <v>636</v>
      </c>
      <c r="I166" s="15" t="s">
        <v>31</v>
      </c>
      <c r="J166" s="16" t="s">
        <v>637</v>
      </c>
      <c r="K166" s="17" t="s">
        <v>34</v>
      </c>
      <c r="L166" s="18"/>
      <c r="M166" s="18"/>
      <c r="N166" s="18"/>
      <c r="O166" s="18"/>
    </row>
    <row r="167" customFormat="false" ht="35.05" hidden="false" customHeight="false" outlineLevel="0" collapsed="false">
      <c r="A167" s="15" t="s">
        <v>638</v>
      </c>
      <c r="B167" s="15" t="s">
        <v>632</v>
      </c>
      <c r="C167" s="16" t="s">
        <v>633</v>
      </c>
      <c r="D167" s="16" t="s">
        <v>70</v>
      </c>
      <c r="E167" s="16" t="s">
        <v>634</v>
      </c>
      <c r="F167" s="15" t="s">
        <v>29</v>
      </c>
      <c r="G167" s="16" t="s">
        <v>639</v>
      </c>
      <c r="H167" s="16" t="s">
        <v>640</v>
      </c>
      <c r="I167" s="15" t="s">
        <v>33</v>
      </c>
      <c r="J167" s="16" t="s">
        <v>637</v>
      </c>
      <c r="K167" s="17" t="s">
        <v>34</v>
      </c>
      <c r="L167" s="18"/>
      <c r="M167" s="18"/>
      <c r="N167" s="18"/>
      <c r="O167" s="18"/>
    </row>
    <row r="168" customFormat="false" ht="35.05" hidden="false" customHeight="false" outlineLevel="0" collapsed="false">
      <c r="A168" s="15" t="s">
        <v>641</v>
      </c>
      <c r="B168" s="15" t="s">
        <v>632</v>
      </c>
      <c r="C168" s="16" t="s">
        <v>633</v>
      </c>
      <c r="D168" s="16" t="s">
        <v>70</v>
      </c>
      <c r="E168" s="16" t="s">
        <v>634</v>
      </c>
      <c r="F168" s="15" t="s">
        <v>29</v>
      </c>
      <c r="G168" s="16" t="s">
        <v>642</v>
      </c>
      <c r="H168" s="16" t="s">
        <v>643</v>
      </c>
      <c r="I168" s="15" t="s">
        <v>33</v>
      </c>
      <c r="J168" s="16" t="s">
        <v>637</v>
      </c>
      <c r="K168" s="17" t="s">
        <v>34</v>
      </c>
      <c r="L168" s="18"/>
      <c r="M168" s="18"/>
      <c r="N168" s="18"/>
      <c r="O168" s="18"/>
    </row>
    <row r="169" customFormat="false" ht="35.05" hidden="false" customHeight="false" outlineLevel="0" collapsed="false">
      <c r="A169" s="15" t="s">
        <v>644</v>
      </c>
      <c r="B169" s="15" t="s">
        <v>632</v>
      </c>
      <c r="C169" s="16" t="s">
        <v>633</v>
      </c>
      <c r="D169" s="16" t="s">
        <v>70</v>
      </c>
      <c r="E169" s="16" t="s">
        <v>634</v>
      </c>
      <c r="F169" s="15" t="s">
        <v>28</v>
      </c>
      <c r="G169" s="16" t="s">
        <v>645</v>
      </c>
      <c r="H169" s="16" t="s">
        <v>646</v>
      </c>
      <c r="I169" s="15" t="s">
        <v>32</v>
      </c>
      <c r="J169" s="16" t="s">
        <v>637</v>
      </c>
      <c r="K169" s="17" t="s">
        <v>34</v>
      </c>
      <c r="L169" s="18"/>
      <c r="M169" s="18"/>
      <c r="N169" s="18"/>
      <c r="O169" s="18"/>
    </row>
    <row r="170" customFormat="false" ht="35.05" hidden="false" customHeight="false" outlineLevel="0" collapsed="false">
      <c r="A170" s="15" t="s">
        <v>647</v>
      </c>
      <c r="B170" s="15" t="s">
        <v>632</v>
      </c>
      <c r="C170" s="16" t="s">
        <v>633</v>
      </c>
      <c r="D170" s="16" t="s">
        <v>70</v>
      </c>
      <c r="E170" s="16" t="s">
        <v>634</v>
      </c>
      <c r="F170" s="15" t="s">
        <v>28</v>
      </c>
      <c r="G170" s="16" t="s">
        <v>648</v>
      </c>
      <c r="H170" s="16" t="s">
        <v>649</v>
      </c>
      <c r="I170" s="15" t="s">
        <v>32</v>
      </c>
      <c r="J170" s="16" t="s">
        <v>637</v>
      </c>
      <c r="K170" s="17" t="s">
        <v>34</v>
      </c>
      <c r="L170" s="18"/>
      <c r="M170" s="18"/>
      <c r="N170" s="18"/>
      <c r="O170" s="18"/>
    </row>
    <row r="171" customFormat="false" ht="35.05" hidden="false" customHeight="false" outlineLevel="0" collapsed="false">
      <c r="A171" s="15" t="s">
        <v>650</v>
      </c>
      <c r="B171" s="15" t="s">
        <v>632</v>
      </c>
      <c r="C171" s="16" t="s">
        <v>633</v>
      </c>
      <c r="D171" s="16" t="s">
        <v>70</v>
      </c>
      <c r="E171" s="16" t="s">
        <v>634</v>
      </c>
      <c r="F171" s="15" t="s">
        <v>28</v>
      </c>
      <c r="G171" s="16" t="s">
        <v>651</v>
      </c>
      <c r="H171" s="16" t="s">
        <v>652</v>
      </c>
      <c r="I171" s="15" t="s">
        <v>32</v>
      </c>
      <c r="J171" s="16" t="s">
        <v>637</v>
      </c>
      <c r="K171" s="17" t="s">
        <v>34</v>
      </c>
      <c r="L171" s="18"/>
      <c r="M171" s="18"/>
      <c r="N171" s="18"/>
      <c r="O171" s="18"/>
    </row>
    <row r="172" customFormat="false" ht="35.05" hidden="false" customHeight="false" outlineLevel="0" collapsed="false">
      <c r="A172" s="15" t="s">
        <v>653</v>
      </c>
      <c r="B172" s="15" t="s">
        <v>632</v>
      </c>
      <c r="C172" s="16" t="s">
        <v>633</v>
      </c>
      <c r="D172" s="16" t="s">
        <v>70</v>
      </c>
      <c r="E172" s="16" t="s">
        <v>634</v>
      </c>
      <c r="F172" s="15" t="s">
        <v>29</v>
      </c>
      <c r="G172" s="16" t="s">
        <v>654</v>
      </c>
      <c r="H172" s="16" t="s">
        <v>655</v>
      </c>
      <c r="I172" s="15" t="s">
        <v>32</v>
      </c>
      <c r="J172" s="16" t="s">
        <v>637</v>
      </c>
      <c r="K172" s="17" t="s">
        <v>34</v>
      </c>
      <c r="L172" s="18"/>
      <c r="M172" s="18"/>
      <c r="N172" s="18"/>
      <c r="O172" s="18"/>
    </row>
    <row r="173" customFormat="false" ht="35.05" hidden="false" customHeight="false" outlineLevel="0" collapsed="false">
      <c r="A173" s="15" t="s">
        <v>656</v>
      </c>
      <c r="B173" s="15" t="s">
        <v>632</v>
      </c>
      <c r="C173" s="16" t="s">
        <v>633</v>
      </c>
      <c r="D173" s="16" t="s">
        <v>70</v>
      </c>
      <c r="E173" s="16" t="s">
        <v>634</v>
      </c>
      <c r="F173" s="15" t="s">
        <v>30</v>
      </c>
      <c r="G173" s="16" t="s">
        <v>657</v>
      </c>
      <c r="H173" s="16" t="s">
        <v>658</v>
      </c>
      <c r="I173" s="15" t="s">
        <v>31</v>
      </c>
      <c r="J173" s="16" t="s">
        <v>637</v>
      </c>
      <c r="K173" s="17" t="s">
        <v>34</v>
      </c>
      <c r="L173" s="18"/>
      <c r="M173" s="18"/>
      <c r="N173" s="18"/>
      <c r="O173" s="18"/>
    </row>
    <row r="174" customFormat="false" ht="35.05" hidden="false" customHeight="false" outlineLevel="0" collapsed="false">
      <c r="A174" s="15" t="s">
        <v>659</v>
      </c>
      <c r="B174" s="15" t="s">
        <v>632</v>
      </c>
      <c r="C174" s="16" t="s">
        <v>633</v>
      </c>
      <c r="D174" s="16" t="s">
        <v>70</v>
      </c>
      <c r="E174" s="16" t="s">
        <v>634</v>
      </c>
      <c r="F174" s="15" t="s">
        <v>28</v>
      </c>
      <c r="G174" s="16" t="s">
        <v>660</v>
      </c>
      <c r="H174" s="16" t="s">
        <v>247</v>
      </c>
      <c r="I174" s="15" t="s">
        <v>32</v>
      </c>
      <c r="J174" s="16" t="s">
        <v>637</v>
      </c>
      <c r="K174" s="17" t="s">
        <v>34</v>
      </c>
      <c r="L174" s="18"/>
      <c r="M174" s="18"/>
      <c r="N174" s="18"/>
      <c r="O174" s="18"/>
    </row>
    <row r="175" customFormat="false" ht="23.85" hidden="false" customHeight="false" outlineLevel="0" collapsed="false">
      <c r="A175" s="19" t="s">
        <v>661</v>
      </c>
      <c r="B175" s="19" t="s">
        <v>662</v>
      </c>
      <c r="C175" s="20" t="s">
        <v>663</v>
      </c>
      <c r="D175" s="20" t="s">
        <v>70</v>
      </c>
      <c r="E175" s="20" t="s">
        <v>664</v>
      </c>
      <c r="F175" s="19" t="s">
        <v>27</v>
      </c>
      <c r="G175" s="20" t="s">
        <v>665</v>
      </c>
      <c r="H175" s="20" t="s">
        <v>666</v>
      </c>
      <c r="I175" s="19" t="s">
        <v>31</v>
      </c>
      <c r="J175" s="20" t="s">
        <v>667</v>
      </c>
      <c r="K175" s="17" t="s">
        <v>34</v>
      </c>
      <c r="L175" s="18"/>
      <c r="M175" s="18"/>
      <c r="N175" s="18"/>
      <c r="O175" s="18"/>
    </row>
    <row r="176" customFormat="false" ht="23.85" hidden="false" customHeight="false" outlineLevel="0" collapsed="false">
      <c r="A176" s="19" t="s">
        <v>668</v>
      </c>
      <c r="B176" s="19" t="s">
        <v>662</v>
      </c>
      <c r="C176" s="20" t="s">
        <v>663</v>
      </c>
      <c r="D176" s="20" t="s">
        <v>70</v>
      </c>
      <c r="E176" s="20" t="s">
        <v>664</v>
      </c>
      <c r="F176" s="19" t="s">
        <v>28</v>
      </c>
      <c r="G176" s="20" t="s">
        <v>669</v>
      </c>
      <c r="H176" s="20" t="s">
        <v>670</v>
      </c>
      <c r="I176" s="19" t="s">
        <v>32</v>
      </c>
      <c r="J176" s="20" t="s">
        <v>667</v>
      </c>
      <c r="K176" s="17" t="s">
        <v>34</v>
      </c>
      <c r="L176" s="18"/>
      <c r="M176" s="18"/>
      <c r="N176" s="18"/>
      <c r="O176" s="18"/>
    </row>
    <row r="177" customFormat="false" ht="23.85" hidden="false" customHeight="false" outlineLevel="0" collapsed="false">
      <c r="A177" s="19" t="s">
        <v>671</v>
      </c>
      <c r="B177" s="19" t="s">
        <v>662</v>
      </c>
      <c r="C177" s="20" t="s">
        <v>663</v>
      </c>
      <c r="D177" s="20" t="s">
        <v>70</v>
      </c>
      <c r="E177" s="20" t="s">
        <v>664</v>
      </c>
      <c r="F177" s="19" t="s">
        <v>29</v>
      </c>
      <c r="G177" s="20" t="s">
        <v>672</v>
      </c>
      <c r="H177" s="20" t="s">
        <v>673</v>
      </c>
      <c r="I177" s="19" t="s">
        <v>33</v>
      </c>
      <c r="J177" s="20" t="s">
        <v>667</v>
      </c>
      <c r="K177" s="17" t="s">
        <v>34</v>
      </c>
      <c r="L177" s="18"/>
      <c r="M177" s="18"/>
      <c r="N177" s="18"/>
      <c r="O177" s="18"/>
    </row>
    <row r="178" customFormat="false" ht="23.85" hidden="false" customHeight="false" outlineLevel="0" collapsed="false">
      <c r="A178" s="19" t="s">
        <v>674</v>
      </c>
      <c r="B178" s="19" t="s">
        <v>662</v>
      </c>
      <c r="C178" s="20" t="s">
        <v>663</v>
      </c>
      <c r="D178" s="20" t="s">
        <v>70</v>
      </c>
      <c r="E178" s="20" t="s">
        <v>664</v>
      </c>
      <c r="F178" s="19" t="s">
        <v>29</v>
      </c>
      <c r="G178" s="20" t="s">
        <v>675</v>
      </c>
      <c r="H178" s="20" t="s">
        <v>676</v>
      </c>
      <c r="I178" s="19" t="s">
        <v>33</v>
      </c>
      <c r="J178" s="20" t="s">
        <v>667</v>
      </c>
      <c r="K178" s="17" t="s">
        <v>34</v>
      </c>
      <c r="L178" s="18"/>
      <c r="M178" s="18"/>
      <c r="N178" s="18"/>
      <c r="O178" s="18"/>
    </row>
    <row r="179" customFormat="false" ht="23.85" hidden="false" customHeight="false" outlineLevel="0" collapsed="false">
      <c r="A179" s="19" t="s">
        <v>677</v>
      </c>
      <c r="B179" s="19" t="s">
        <v>662</v>
      </c>
      <c r="C179" s="20" t="s">
        <v>663</v>
      </c>
      <c r="D179" s="20" t="s">
        <v>70</v>
      </c>
      <c r="E179" s="20" t="s">
        <v>664</v>
      </c>
      <c r="F179" s="19" t="s">
        <v>29</v>
      </c>
      <c r="G179" s="20" t="s">
        <v>678</v>
      </c>
      <c r="H179" s="20" t="s">
        <v>679</v>
      </c>
      <c r="I179" s="19" t="s">
        <v>33</v>
      </c>
      <c r="J179" s="20" t="s">
        <v>667</v>
      </c>
      <c r="K179" s="17" t="s">
        <v>34</v>
      </c>
      <c r="L179" s="18"/>
      <c r="M179" s="18"/>
      <c r="N179" s="18"/>
      <c r="O179" s="18"/>
    </row>
    <row r="180" customFormat="false" ht="23.85" hidden="false" customHeight="false" outlineLevel="0" collapsed="false">
      <c r="A180" s="19" t="s">
        <v>680</v>
      </c>
      <c r="B180" s="19" t="s">
        <v>662</v>
      </c>
      <c r="C180" s="20" t="s">
        <v>663</v>
      </c>
      <c r="D180" s="20" t="s">
        <v>70</v>
      </c>
      <c r="E180" s="20" t="s">
        <v>664</v>
      </c>
      <c r="F180" s="19" t="s">
        <v>29</v>
      </c>
      <c r="G180" s="20" t="s">
        <v>681</v>
      </c>
      <c r="H180" s="20" t="s">
        <v>682</v>
      </c>
      <c r="I180" s="19" t="s">
        <v>33</v>
      </c>
      <c r="J180" s="20" t="s">
        <v>667</v>
      </c>
      <c r="K180" s="17" t="s">
        <v>34</v>
      </c>
      <c r="L180" s="18"/>
      <c r="M180" s="18"/>
      <c r="N180" s="18"/>
      <c r="O180" s="18"/>
    </row>
    <row r="181" customFormat="false" ht="46.25" hidden="false" customHeight="false" outlineLevel="0" collapsed="false">
      <c r="A181" s="15" t="s">
        <v>683</v>
      </c>
      <c r="B181" s="15" t="s">
        <v>684</v>
      </c>
      <c r="C181" s="16" t="s">
        <v>685</v>
      </c>
      <c r="D181" s="16" t="s">
        <v>92</v>
      </c>
      <c r="E181" s="16" t="s">
        <v>164</v>
      </c>
      <c r="F181" s="15" t="s">
        <v>27</v>
      </c>
      <c r="G181" s="16" t="s">
        <v>686</v>
      </c>
      <c r="H181" s="16" t="s">
        <v>687</v>
      </c>
      <c r="I181" s="15" t="s">
        <v>31</v>
      </c>
      <c r="J181" s="16" t="s">
        <v>688</v>
      </c>
      <c r="K181" s="17" t="s">
        <v>34</v>
      </c>
      <c r="L181" s="18"/>
      <c r="M181" s="18"/>
      <c r="N181" s="18"/>
      <c r="O181" s="18"/>
    </row>
    <row r="182" customFormat="false" ht="46.25" hidden="false" customHeight="false" outlineLevel="0" collapsed="false">
      <c r="A182" s="15" t="s">
        <v>689</v>
      </c>
      <c r="B182" s="15" t="s">
        <v>684</v>
      </c>
      <c r="C182" s="16" t="s">
        <v>685</v>
      </c>
      <c r="D182" s="16" t="s">
        <v>92</v>
      </c>
      <c r="E182" s="16" t="s">
        <v>164</v>
      </c>
      <c r="F182" s="15" t="s">
        <v>27</v>
      </c>
      <c r="G182" s="16" t="s">
        <v>690</v>
      </c>
      <c r="H182" s="16" t="s">
        <v>691</v>
      </c>
      <c r="I182" s="15" t="s">
        <v>31</v>
      </c>
      <c r="J182" s="16" t="s">
        <v>688</v>
      </c>
      <c r="K182" s="17" t="s">
        <v>34</v>
      </c>
      <c r="L182" s="18"/>
      <c r="M182" s="18"/>
      <c r="N182" s="18"/>
      <c r="O182" s="18"/>
    </row>
    <row r="183" customFormat="false" ht="46.25" hidden="false" customHeight="false" outlineLevel="0" collapsed="false">
      <c r="A183" s="15" t="s">
        <v>692</v>
      </c>
      <c r="B183" s="15" t="s">
        <v>684</v>
      </c>
      <c r="C183" s="16" t="s">
        <v>685</v>
      </c>
      <c r="D183" s="16" t="s">
        <v>92</v>
      </c>
      <c r="E183" s="16" t="s">
        <v>164</v>
      </c>
      <c r="F183" s="15" t="s">
        <v>29</v>
      </c>
      <c r="G183" s="16" t="s">
        <v>693</v>
      </c>
      <c r="H183" s="16" t="s">
        <v>694</v>
      </c>
      <c r="I183" s="15" t="s">
        <v>33</v>
      </c>
      <c r="J183" s="16" t="s">
        <v>688</v>
      </c>
      <c r="K183" s="17" t="s">
        <v>34</v>
      </c>
      <c r="L183" s="18"/>
      <c r="M183" s="18"/>
      <c r="N183" s="18"/>
      <c r="O183" s="18"/>
    </row>
    <row r="184" customFormat="false" ht="46.25" hidden="false" customHeight="false" outlineLevel="0" collapsed="false">
      <c r="A184" s="15" t="s">
        <v>695</v>
      </c>
      <c r="B184" s="15" t="s">
        <v>684</v>
      </c>
      <c r="C184" s="16" t="s">
        <v>685</v>
      </c>
      <c r="D184" s="16" t="s">
        <v>92</v>
      </c>
      <c r="E184" s="16" t="s">
        <v>164</v>
      </c>
      <c r="F184" s="15" t="s">
        <v>28</v>
      </c>
      <c r="G184" s="16" t="s">
        <v>696</v>
      </c>
      <c r="H184" s="16" t="s">
        <v>697</v>
      </c>
      <c r="I184" s="15" t="s">
        <v>32</v>
      </c>
      <c r="J184" s="16" t="s">
        <v>688</v>
      </c>
      <c r="K184" s="17" t="s">
        <v>34</v>
      </c>
      <c r="L184" s="18"/>
      <c r="M184" s="18"/>
      <c r="N184" s="18"/>
      <c r="O184" s="18"/>
    </row>
    <row r="185" customFormat="false" ht="46.25" hidden="false" customHeight="false" outlineLevel="0" collapsed="false">
      <c r="A185" s="15" t="s">
        <v>698</v>
      </c>
      <c r="B185" s="15" t="s">
        <v>684</v>
      </c>
      <c r="C185" s="16" t="s">
        <v>685</v>
      </c>
      <c r="D185" s="16" t="s">
        <v>92</v>
      </c>
      <c r="E185" s="16" t="s">
        <v>164</v>
      </c>
      <c r="F185" s="15" t="s">
        <v>28</v>
      </c>
      <c r="G185" s="16" t="s">
        <v>699</v>
      </c>
      <c r="H185" s="16" t="s">
        <v>700</v>
      </c>
      <c r="I185" s="15" t="s">
        <v>32</v>
      </c>
      <c r="J185" s="16" t="s">
        <v>688</v>
      </c>
      <c r="K185" s="17" t="s">
        <v>34</v>
      </c>
      <c r="L185" s="18"/>
      <c r="M185" s="18"/>
      <c r="N185" s="18"/>
      <c r="O185" s="18"/>
    </row>
    <row r="186" customFormat="false" ht="46.25" hidden="false" customHeight="false" outlineLevel="0" collapsed="false">
      <c r="A186" s="15" t="s">
        <v>701</v>
      </c>
      <c r="B186" s="15" t="s">
        <v>684</v>
      </c>
      <c r="C186" s="16" t="s">
        <v>685</v>
      </c>
      <c r="D186" s="16" t="s">
        <v>92</v>
      </c>
      <c r="E186" s="16" t="s">
        <v>164</v>
      </c>
      <c r="F186" s="15" t="s">
        <v>28</v>
      </c>
      <c r="G186" s="16" t="s">
        <v>702</v>
      </c>
      <c r="H186" s="16" t="s">
        <v>703</v>
      </c>
      <c r="I186" s="15" t="s">
        <v>32</v>
      </c>
      <c r="J186" s="16" t="s">
        <v>688</v>
      </c>
      <c r="K186" s="17" t="s">
        <v>34</v>
      </c>
      <c r="L186" s="18"/>
      <c r="M186" s="18"/>
      <c r="N186" s="18"/>
      <c r="O186" s="18"/>
    </row>
    <row r="187" customFormat="false" ht="46.25" hidden="false" customHeight="false" outlineLevel="0" collapsed="false">
      <c r="A187" s="15" t="s">
        <v>704</v>
      </c>
      <c r="B187" s="15" t="s">
        <v>684</v>
      </c>
      <c r="C187" s="16" t="s">
        <v>685</v>
      </c>
      <c r="D187" s="16" t="s">
        <v>92</v>
      </c>
      <c r="E187" s="16" t="s">
        <v>164</v>
      </c>
      <c r="F187" s="15" t="s">
        <v>28</v>
      </c>
      <c r="G187" s="16" t="s">
        <v>705</v>
      </c>
      <c r="H187" s="16" t="s">
        <v>706</v>
      </c>
      <c r="I187" s="15" t="s">
        <v>32</v>
      </c>
      <c r="J187" s="16" t="s">
        <v>688</v>
      </c>
      <c r="K187" s="17" t="s">
        <v>34</v>
      </c>
      <c r="L187" s="18"/>
      <c r="M187" s="18"/>
      <c r="N187" s="18"/>
      <c r="O187" s="18"/>
    </row>
    <row r="188" customFormat="false" ht="46.25" hidden="false" customHeight="false" outlineLevel="0" collapsed="false">
      <c r="A188" s="15" t="s">
        <v>707</v>
      </c>
      <c r="B188" s="15" t="s">
        <v>684</v>
      </c>
      <c r="C188" s="16" t="s">
        <v>685</v>
      </c>
      <c r="D188" s="16" t="s">
        <v>92</v>
      </c>
      <c r="E188" s="16" t="s">
        <v>164</v>
      </c>
      <c r="F188" s="15" t="s">
        <v>29</v>
      </c>
      <c r="G188" s="16" t="s">
        <v>708</v>
      </c>
      <c r="H188" s="16" t="s">
        <v>709</v>
      </c>
      <c r="I188" s="15" t="s">
        <v>33</v>
      </c>
      <c r="J188" s="16" t="s">
        <v>688</v>
      </c>
      <c r="K188" s="17" t="s">
        <v>34</v>
      </c>
      <c r="L188" s="18"/>
      <c r="M188" s="18"/>
      <c r="N188" s="18"/>
      <c r="O188" s="18"/>
    </row>
    <row r="189" customFormat="false" ht="46.25" hidden="false" customHeight="false" outlineLevel="0" collapsed="false">
      <c r="A189" s="15" t="s">
        <v>710</v>
      </c>
      <c r="B189" s="15" t="s">
        <v>684</v>
      </c>
      <c r="C189" s="16" t="s">
        <v>685</v>
      </c>
      <c r="D189" s="16" t="s">
        <v>92</v>
      </c>
      <c r="E189" s="16" t="s">
        <v>164</v>
      </c>
      <c r="F189" s="15" t="s">
        <v>29</v>
      </c>
      <c r="G189" s="16" t="s">
        <v>711</v>
      </c>
      <c r="H189" s="16" t="s">
        <v>712</v>
      </c>
      <c r="I189" s="15" t="s">
        <v>33</v>
      </c>
      <c r="J189" s="16" t="s">
        <v>688</v>
      </c>
      <c r="K189" s="17" t="s">
        <v>34</v>
      </c>
      <c r="L189" s="18"/>
      <c r="M189" s="18"/>
      <c r="N189" s="18"/>
      <c r="O189" s="18"/>
    </row>
    <row r="190" customFormat="false" ht="46.25" hidden="false" customHeight="false" outlineLevel="0" collapsed="false">
      <c r="A190" s="15" t="s">
        <v>713</v>
      </c>
      <c r="B190" s="15" t="s">
        <v>684</v>
      </c>
      <c r="C190" s="16" t="s">
        <v>685</v>
      </c>
      <c r="D190" s="16" t="s">
        <v>92</v>
      </c>
      <c r="E190" s="16" t="s">
        <v>164</v>
      </c>
      <c r="F190" s="15" t="s">
        <v>29</v>
      </c>
      <c r="G190" s="16" t="s">
        <v>714</v>
      </c>
      <c r="H190" s="16" t="s">
        <v>715</v>
      </c>
      <c r="I190" s="15" t="s">
        <v>32</v>
      </c>
      <c r="J190" s="16" t="s">
        <v>688</v>
      </c>
      <c r="K190" s="17" t="s">
        <v>34</v>
      </c>
      <c r="L190" s="18"/>
      <c r="M190" s="18"/>
      <c r="N190" s="18"/>
      <c r="O190" s="18"/>
    </row>
  </sheetData>
  <autoFilter ref="A1:O190"/>
  <conditionalFormatting sqref="K2:K390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conditionalFormatting sqref="F2:F390">
    <cfRule type="cellIs" priority="6" operator="equal" aboveAverage="0" equalAverage="0" bottom="0" percent="0" rank="0" text="" dxfId="12">
      <formula>"Security"</formula>
    </cfRule>
    <cfRule type="cellIs" priority="7" operator="equal" aboveAverage="0" equalAverage="0" bottom="0" percent="0" rank="0" text="" dxfId="13">
      <formula>"Negative"</formula>
    </cfRule>
    <cfRule type="cellIs" priority="8" operator="equal" aboveAverage="0" equalAverage="0" bottom="0" percent="0" rank="0" text="" dxfId="14">
      <formula>"Happy"</formula>
    </cfRule>
  </conditionalFormatting>
  <dataValidations count="2">
    <dataValidation allowBlank="true" errorStyle="stop" operator="between" showDropDown="false" showErrorMessage="false" showInputMessage="false" sqref="K2:K390" type="list">
      <formula1>"Not Run,Pass,Fail,Blocked,N/A"</formula1>
      <formula2>0</formula2>
    </dataValidation>
    <dataValidation allowBlank="false" errorStyle="stop" operator="between" showDropDown="false" showErrorMessage="false" showInputMessage="false" sqref="I2:I39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23.85" hidden="false" customHeight="false" outlineLevel="0" collapsed="false">
      <c r="A2" s="15" t="s">
        <v>716</v>
      </c>
      <c r="B2" s="15" t="s">
        <v>717</v>
      </c>
      <c r="C2" s="16" t="s">
        <v>718</v>
      </c>
      <c r="D2" s="16" t="s">
        <v>719</v>
      </c>
      <c r="E2" s="16" t="s">
        <v>720</v>
      </c>
      <c r="F2" s="15" t="s">
        <v>27</v>
      </c>
      <c r="G2" s="16" t="s">
        <v>721</v>
      </c>
      <c r="H2" s="16" t="s">
        <v>722</v>
      </c>
      <c r="I2" s="15" t="s">
        <v>31</v>
      </c>
      <c r="J2" s="16" t="s">
        <v>723</v>
      </c>
      <c r="K2" s="17" t="s">
        <v>34</v>
      </c>
      <c r="L2" s="18"/>
      <c r="M2" s="18"/>
      <c r="N2" s="18"/>
      <c r="O2" s="18"/>
    </row>
    <row r="3" customFormat="false" ht="23.85" hidden="false" customHeight="false" outlineLevel="0" collapsed="false">
      <c r="A3" s="15" t="s">
        <v>724</v>
      </c>
      <c r="B3" s="15" t="s">
        <v>717</v>
      </c>
      <c r="C3" s="16" t="s">
        <v>718</v>
      </c>
      <c r="D3" s="16" t="s">
        <v>719</v>
      </c>
      <c r="E3" s="16" t="s">
        <v>720</v>
      </c>
      <c r="F3" s="15" t="s">
        <v>27</v>
      </c>
      <c r="G3" s="16" t="s">
        <v>725</v>
      </c>
      <c r="H3" s="16" t="s">
        <v>726</v>
      </c>
      <c r="I3" s="15" t="s">
        <v>31</v>
      </c>
      <c r="J3" s="16" t="s">
        <v>723</v>
      </c>
      <c r="K3" s="17" t="s">
        <v>34</v>
      </c>
      <c r="L3" s="18"/>
      <c r="M3" s="18"/>
      <c r="N3" s="18"/>
      <c r="O3" s="18"/>
    </row>
    <row r="4" customFormat="false" ht="23.85" hidden="false" customHeight="false" outlineLevel="0" collapsed="false">
      <c r="A4" s="15" t="s">
        <v>727</v>
      </c>
      <c r="B4" s="15" t="s">
        <v>717</v>
      </c>
      <c r="C4" s="16" t="s">
        <v>718</v>
      </c>
      <c r="D4" s="16" t="s">
        <v>719</v>
      </c>
      <c r="E4" s="16" t="s">
        <v>720</v>
      </c>
      <c r="F4" s="15" t="s">
        <v>30</v>
      </c>
      <c r="G4" s="16" t="s">
        <v>728</v>
      </c>
      <c r="H4" s="16" t="s">
        <v>729</v>
      </c>
      <c r="I4" s="15" t="s">
        <v>31</v>
      </c>
      <c r="J4" s="16" t="s">
        <v>723</v>
      </c>
      <c r="K4" s="17" t="s">
        <v>34</v>
      </c>
      <c r="L4" s="18"/>
      <c r="M4" s="18"/>
      <c r="N4" s="18"/>
      <c r="O4" s="18"/>
    </row>
    <row r="5" customFormat="false" ht="23.85" hidden="false" customHeight="false" outlineLevel="0" collapsed="false">
      <c r="A5" s="15" t="s">
        <v>730</v>
      </c>
      <c r="B5" s="15" t="s">
        <v>717</v>
      </c>
      <c r="C5" s="16" t="s">
        <v>718</v>
      </c>
      <c r="D5" s="16" t="s">
        <v>719</v>
      </c>
      <c r="E5" s="16" t="s">
        <v>720</v>
      </c>
      <c r="F5" s="15" t="s">
        <v>28</v>
      </c>
      <c r="G5" s="16" t="s">
        <v>731</v>
      </c>
      <c r="H5" s="16" t="s">
        <v>732</v>
      </c>
      <c r="I5" s="15" t="s">
        <v>32</v>
      </c>
      <c r="J5" s="16" t="s">
        <v>723</v>
      </c>
      <c r="K5" s="17" t="s">
        <v>34</v>
      </c>
      <c r="L5" s="18"/>
      <c r="M5" s="18"/>
      <c r="N5" s="18"/>
      <c r="O5" s="18"/>
    </row>
    <row r="6" customFormat="false" ht="23.85" hidden="false" customHeight="false" outlineLevel="0" collapsed="false">
      <c r="A6" s="15" t="s">
        <v>733</v>
      </c>
      <c r="B6" s="15" t="s">
        <v>717</v>
      </c>
      <c r="C6" s="16" t="s">
        <v>718</v>
      </c>
      <c r="D6" s="16" t="s">
        <v>719</v>
      </c>
      <c r="E6" s="16" t="s">
        <v>720</v>
      </c>
      <c r="F6" s="15" t="s">
        <v>28</v>
      </c>
      <c r="G6" s="16" t="s">
        <v>734</v>
      </c>
      <c r="H6" s="16" t="s">
        <v>735</v>
      </c>
      <c r="I6" s="15" t="s">
        <v>32</v>
      </c>
      <c r="J6" s="16" t="s">
        <v>723</v>
      </c>
      <c r="K6" s="17" t="s">
        <v>34</v>
      </c>
      <c r="L6" s="18"/>
      <c r="M6" s="18"/>
      <c r="N6" s="18"/>
      <c r="O6" s="18"/>
    </row>
    <row r="7" customFormat="false" ht="23.85" hidden="false" customHeight="false" outlineLevel="0" collapsed="false">
      <c r="A7" s="15" t="s">
        <v>736</v>
      </c>
      <c r="B7" s="15" t="s">
        <v>717</v>
      </c>
      <c r="C7" s="16" t="s">
        <v>718</v>
      </c>
      <c r="D7" s="16" t="s">
        <v>719</v>
      </c>
      <c r="E7" s="16" t="s">
        <v>720</v>
      </c>
      <c r="F7" s="15" t="s">
        <v>30</v>
      </c>
      <c r="G7" s="16" t="s">
        <v>737</v>
      </c>
      <c r="H7" s="16" t="s">
        <v>738</v>
      </c>
      <c r="I7" s="15" t="s">
        <v>31</v>
      </c>
      <c r="J7" s="16" t="s">
        <v>723</v>
      </c>
      <c r="K7" s="17" t="s">
        <v>34</v>
      </c>
      <c r="L7" s="18"/>
      <c r="M7" s="18"/>
      <c r="N7" s="18"/>
      <c r="O7" s="18"/>
    </row>
    <row r="8" customFormat="false" ht="23.85" hidden="false" customHeight="false" outlineLevel="0" collapsed="false">
      <c r="A8" s="15" t="s">
        <v>739</v>
      </c>
      <c r="B8" s="15" t="s">
        <v>717</v>
      </c>
      <c r="C8" s="16" t="s">
        <v>718</v>
      </c>
      <c r="D8" s="16" t="s">
        <v>719</v>
      </c>
      <c r="E8" s="16" t="s">
        <v>720</v>
      </c>
      <c r="F8" s="15" t="s">
        <v>30</v>
      </c>
      <c r="G8" s="16" t="s">
        <v>740</v>
      </c>
      <c r="H8" s="16" t="s">
        <v>741</v>
      </c>
      <c r="I8" s="15" t="s">
        <v>31</v>
      </c>
      <c r="J8" s="16" t="s">
        <v>723</v>
      </c>
      <c r="K8" s="17" t="s">
        <v>34</v>
      </c>
      <c r="L8" s="18"/>
      <c r="M8" s="18"/>
      <c r="N8" s="18"/>
      <c r="O8" s="18"/>
    </row>
    <row r="9" customFormat="false" ht="23.85" hidden="false" customHeight="false" outlineLevel="0" collapsed="false">
      <c r="A9" s="15" t="s">
        <v>742</v>
      </c>
      <c r="B9" s="15" t="s">
        <v>717</v>
      </c>
      <c r="C9" s="16" t="s">
        <v>718</v>
      </c>
      <c r="D9" s="16" t="s">
        <v>719</v>
      </c>
      <c r="E9" s="16" t="s">
        <v>720</v>
      </c>
      <c r="F9" s="15" t="s">
        <v>28</v>
      </c>
      <c r="G9" s="16" t="s">
        <v>743</v>
      </c>
      <c r="H9" s="16" t="s">
        <v>744</v>
      </c>
      <c r="I9" s="15" t="s">
        <v>32</v>
      </c>
      <c r="J9" s="16" t="s">
        <v>723</v>
      </c>
      <c r="K9" s="17" t="s">
        <v>34</v>
      </c>
      <c r="L9" s="18"/>
      <c r="M9" s="18"/>
      <c r="N9" s="18"/>
      <c r="O9" s="18"/>
    </row>
    <row r="10" customFormat="false" ht="23.85" hidden="false" customHeight="false" outlineLevel="0" collapsed="false">
      <c r="A10" s="15" t="s">
        <v>745</v>
      </c>
      <c r="B10" s="15" t="s">
        <v>717</v>
      </c>
      <c r="C10" s="16" t="s">
        <v>718</v>
      </c>
      <c r="D10" s="16" t="s">
        <v>719</v>
      </c>
      <c r="E10" s="16" t="s">
        <v>720</v>
      </c>
      <c r="F10" s="15" t="s">
        <v>29</v>
      </c>
      <c r="G10" s="16" t="s">
        <v>746</v>
      </c>
      <c r="H10" s="16" t="s">
        <v>747</v>
      </c>
      <c r="I10" s="15" t="s">
        <v>33</v>
      </c>
      <c r="J10" s="16" t="s">
        <v>723</v>
      </c>
      <c r="K10" s="17" t="s">
        <v>34</v>
      </c>
      <c r="L10" s="18"/>
      <c r="M10" s="18"/>
      <c r="N10" s="18"/>
      <c r="O10" s="18"/>
    </row>
    <row r="11" customFormat="false" ht="23.85" hidden="false" customHeight="false" outlineLevel="0" collapsed="false">
      <c r="A11" s="15" t="s">
        <v>748</v>
      </c>
      <c r="B11" s="15" t="s">
        <v>717</v>
      </c>
      <c r="C11" s="16" t="s">
        <v>718</v>
      </c>
      <c r="D11" s="16" t="s">
        <v>719</v>
      </c>
      <c r="E11" s="16" t="s">
        <v>720</v>
      </c>
      <c r="F11" s="15" t="s">
        <v>30</v>
      </c>
      <c r="G11" s="16" t="s">
        <v>749</v>
      </c>
      <c r="H11" s="16" t="s">
        <v>750</v>
      </c>
      <c r="I11" s="15" t="s">
        <v>31</v>
      </c>
      <c r="J11" s="16" t="s">
        <v>723</v>
      </c>
      <c r="K11" s="17" t="s">
        <v>34</v>
      </c>
      <c r="L11" s="18"/>
      <c r="M11" s="18"/>
      <c r="N11" s="18"/>
      <c r="O11" s="18"/>
    </row>
    <row r="12" customFormat="false" ht="35.05" hidden="false" customHeight="false" outlineLevel="0" collapsed="false">
      <c r="A12" s="19" t="s">
        <v>751</v>
      </c>
      <c r="B12" s="19" t="s">
        <v>752</v>
      </c>
      <c r="C12" s="20" t="s">
        <v>753</v>
      </c>
      <c r="D12" s="20" t="s">
        <v>754</v>
      </c>
      <c r="E12" s="20" t="s">
        <v>755</v>
      </c>
      <c r="F12" s="19" t="s">
        <v>27</v>
      </c>
      <c r="G12" s="20" t="s">
        <v>756</v>
      </c>
      <c r="H12" s="20" t="s">
        <v>757</v>
      </c>
      <c r="I12" s="19" t="s">
        <v>31</v>
      </c>
      <c r="J12" s="20" t="s">
        <v>758</v>
      </c>
      <c r="K12" s="17" t="s">
        <v>34</v>
      </c>
      <c r="L12" s="18"/>
      <c r="M12" s="18"/>
      <c r="N12" s="18"/>
      <c r="O12" s="18"/>
    </row>
    <row r="13" customFormat="false" ht="35.05" hidden="false" customHeight="false" outlineLevel="0" collapsed="false">
      <c r="A13" s="19" t="s">
        <v>759</v>
      </c>
      <c r="B13" s="19" t="s">
        <v>752</v>
      </c>
      <c r="C13" s="20" t="s">
        <v>753</v>
      </c>
      <c r="D13" s="20" t="s">
        <v>754</v>
      </c>
      <c r="E13" s="20" t="s">
        <v>755</v>
      </c>
      <c r="F13" s="19" t="s">
        <v>28</v>
      </c>
      <c r="G13" s="20" t="s">
        <v>760</v>
      </c>
      <c r="H13" s="20" t="s">
        <v>761</v>
      </c>
      <c r="I13" s="19" t="s">
        <v>32</v>
      </c>
      <c r="J13" s="20" t="s">
        <v>758</v>
      </c>
      <c r="K13" s="17" t="s">
        <v>34</v>
      </c>
      <c r="L13" s="18"/>
      <c r="M13" s="18"/>
      <c r="N13" s="18"/>
      <c r="O13" s="18"/>
    </row>
    <row r="14" customFormat="false" ht="35.05" hidden="false" customHeight="false" outlineLevel="0" collapsed="false">
      <c r="A14" s="19" t="s">
        <v>762</v>
      </c>
      <c r="B14" s="19" t="s">
        <v>752</v>
      </c>
      <c r="C14" s="20" t="s">
        <v>753</v>
      </c>
      <c r="D14" s="20" t="s">
        <v>754</v>
      </c>
      <c r="E14" s="20" t="s">
        <v>755</v>
      </c>
      <c r="F14" s="19" t="s">
        <v>28</v>
      </c>
      <c r="G14" s="20" t="s">
        <v>763</v>
      </c>
      <c r="H14" s="20" t="s">
        <v>764</v>
      </c>
      <c r="I14" s="19" t="s">
        <v>32</v>
      </c>
      <c r="J14" s="20" t="s">
        <v>758</v>
      </c>
      <c r="K14" s="17" t="s">
        <v>34</v>
      </c>
      <c r="L14" s="18"/>
      <c r="M14" s="18"/>
      <c r="N14" s="18"/>
      <c r="O14" s="18"/>
    </row>
    <row r="15" customFormat="false" ht="35.05" hidden="false" customHeight="false" outlineLevel="0" collapsed="false">
      <c r="A15" s="19" t="s">
        <v>765</v>
      </c>
      <c r="B15" s="19" t="s">
        <v>752</v>
      </c>
      <c r="C15" s="20" t="s">
        <v>753</v>
      </c>
      <c r="D15" s="20" t="s">
        <v>754</v>
      </c>
      <c r="E15" s="20" t="s">
        <v>755</v>
      </c>
      <c r="F15" s="19" t="s">
        <v>28</v>
      </c>
      <c r="G15" s="20" t="s">
        <v>766</v>
      </c>
      <c r="H15" s="20" t="s">
        <v>767</v>
      </c>
      <c r="I15" s="19" t="s">
        <v>32</v>
      </c>
      <c r="J15" s="20" t="s">
        <v>758</v>
      </c>
      <c r="K15" s="17" t="s">
        <v>34</v>
      </c>
      <c r="L15" s="18"/>
      <c r="M15" s="18"/>
      <c r="N15" s="18"/>
      <c r="O15" s="18"/>
    </row>
    <row r="16" customFormat="false" ht="35.05" hidden="false" customHeight="false" outlineLevel="0" collapsed="false">
      <c r="A16" s="19" t="s">
        <v>768</v>
      </c>
      <c r="B16" s="19" t="s">
        <v>752</v>
      </c>
      <c r="C16" s="20" t="s">
        <v>753</v>
      </c>
      <c r="D16" s="20" t="s">
        <v>754</v>
      </c>
      <c r="E16" s="20" t="s">
        <v>755</v>
      </c>
      <c r="F16" s="19" t="s">
        <v>29</v>
      </c>
      <c r="G16" s="20" t="s">
        <v>769</v>
      </c>
      <c r="H16" s="20" t="s">
        <v>770</v>
      </c>
      <c r="I16" s="19" t="s">
        <v>33</v>
      </c>
      <c r="J16" s="20" t="s">
        <v>758</v>
      </c>
      <c r="K16" s="17" t="s">
        <v>34</v>
      </c>
      <c r="L16" s="18"/>
      <c r="M16" s="18"/>
      <c r="N16" s="18"/>
      <c r="O16" s="18"/>
    </row>
    <row r="17" customFormat="false" ht="35.05" hidden="false" customHeight="false" outlineLevel="0" collapsed="false">
      <c r="A17" s="19" t="s">
        <v>771</v>
      </c>
      <c r="B17" s="19" t="s">
        <v>752</v>
      </c>
      <c r="C17" s="20" t="s">
        <v>753</v>
      </c>
      <c r="D17" s="20" t="s">
        <v>754</v>
      </c>
      <c r="E17" s="20" t="s">
        <v>755</v>
      </c>
      <c r="F17" s="19" t="s">
        <v>29</v>
      </c>
      <c r="G17" s="20" t="s">
        <v>772</v>
      </c>
      <c r="H17" s="20" t="s">
        <v>773</v>
      </c>
      <c r="I17" s="19" t="s">
        <v>33</v>
      </c>
      <c r="J17" s="20" t="s">
        <v>758</v>
      </c>
      <c r="K17" s="17" t="s">
        <v>34</v>
      </c>
      <c r="L17" s="18"/>
      <c r="M17" s="18"/>
      <c r="N17" s="18"/>
      <c r="O17" s="18"/>
    </row>
    <row r="18" customFormat="false" ht="35.05" hidden="false" customHeight="false" outlineLevel="0" collapsed="false">
      <c r="A18" s="19" t="s">
        <v>774</v>
      </c>
      <c r="B18" s="19" t="s">
        <v>752</v>
      </c>
      <c r="C18" s="20" t="s">
        <v>753</v>
      </c>
      <c r="D18" s="20" t="s">
        <v>754</v>
      </c>
      <c r="E18" s="20" t="s">
        <v>755</v>
      </c>
      <c r="F18" s="19" t="s">
        <v>28</v>
      </c>
      <c r="G18" s="20" t="s">
        <v>775</v>
      </c>
      <c r="H18" s="20" t="s">
        <v>776</v>
      </c>
      <c r="I18" s="19" t="s">
        <v>32</v>
      </c>
      <c r="J18" s="20" t="s">
        <v>758</v>
      </c>
      <c r="K18" s="17" t="s">
        <v>34</v>
      </c>
      <c r="L18" s="18"/>
      <c r="M18" s="18"/>
      <c r="N18" s="18"/>
      <c r="O18" s="18"/>
    </row>
    <row r="19" customFormat="false" ht="35.05" hidden="false" customHeight="false" outlineLevel="0" collapsed="false">
      <c r="A19" s="19" t="s">
        <v>777</v>
      </c>
      <c r="B19" s="19" t="s">
        <v>752</v>
      </c>
      <c r="C19" s="20" t="s">
        <v>753</v>
      </c>
      <c r="D19" s="20" t="s">
        <v>754</v>
      </c>
      <c r="E19" s="20" t="s">
        <v>755</v>
      </c>
      <c r="F19" s="19" t="s">
        <v>28</v>
      </c>
      <c r="G19" s="20" t="s">
        <v>778</v>
      </c>
      <c r="H19" s="20" t="s">
        <v>779</v>
      </c>
      <c r="I19" s="19" t="s">
        <v>32</v>
      </c>
      <c r="J19" s="20" t="s">
        <v>758</v>
      </c>
      <c r="K19" s="17" t="s">
        <v>34</v>
      </c>
      <c r="L19" s="18"/>
      <c r="M19" s="18"/>
      <c r="N19" s="18"/>
      <c r="O19" s="18"/>
    </row>
    <row r="20" customFormat="false" ht="35.05" hidden="false" customHeight="false" outlineLevel="0" collapsed="false">
      <c r="A20" s="19" t="s">
        <v>780</v>
      </c>
      <c r="B20" s="19" t="s">
        <v>752</v>
      </c>
      <c r="C20" s="20" t="s">
        <v>753</v>
      </c>
      <c r="D20" s="20" t="s">
        <v>754</v>
      </c>
      <c r="E20" s="20" t="s">
        <v>755</v>
      </c>
      <c r="F20" s="19" t="s">
        <v>28</v>
      </c>
      <c r="G20" s="20" t="s">
        <v>781</v>
      </c>
      <c r="H20" s="20" t="s">
        <v>782</v>
      </c>
      <c r="I20" s="19" t="s">
        <v>32</v>
      </c>
      <c r="J20" s="20" t="s">
        <v>758</v>
      </c>
      <c r="K20" s="17" t="s">
        <v>34</v>
      </c>
      <c r="L20" s="18"/>
      <c r="M20" s="18"/>
      <c r="N20" s="18"/>
      <c r="O20" s="18"/>
    </row>
    <row r="21" customFormat="false" ht="35.05" hidden="false" customHeight="false" outlineLevel="0" collapsed="false">
      <c r="A21" s="19" t="s">
        <v>783</v>
      </c>
      <c r="B21" s="19" t="s">
        <v>752</v>
      </c>
      <c r="C21" s="20" t="s">
        <v>753</v>
      </c>
      <c r="D21" s="20" t="s">
        <v>754</v>
      </c>
      <c r="E21" s="20" t="s">
        <v>755</v>
      </c>
      <c r="F21" s="19" t="s">
        <v>30</v>
      </c>
      <c r="G21" s="20" t="s">
        <v>482</v>
      </c>
      <c r="H21" s="20" t="s">
        <v>784</v>
      </c>
      <c r="I21" s="19" t="s">
        <v>31</v>
      </c>
      <c r="J21" s="20" t="s">
        <v>758</v>
      </c>
      <c r="K21" s="17" t="s">
        <v>34</v>
      </c>
      <c r="L21" s="18"/>
      <c r="M21" s="18"/>
      <c r="N21" s="18"/>
      <c r="O21" s="18"/>
    </row>
    <row r="22" customFormat="false" ht="35.05" hidden="false" customHeight="false" outlineLevel="0" collapsed="false">
      <c r="A22" s="19" t="s">
        <v>785</v>
      </c>
      <c r="B22" s="19" t="s">
        <v>752</v>
      </c>
      <c r="C22" s="20" t="s">
        <v>753</v>
      </c>
      <c r="D22" s="20" t="s">
        <v>754</v>
      </c>
      <c r="E22" s="20" t="s">
        <v>755</v>
      </c>
      <c r="F22" s="19" t="s">
        <v>30</v>
      </c>
      <c r="G22" s="20" t="s">
        <v>786</v>
      </c>
      <c r="H22" s="20" t="s">
        <v>787</v>
      </c>
      <c r="I22" s="19" t="s">
        <v>31</v>
      </c>
      <c r="J22" s="20" t="s">
        <v>758</v>
      </c>
      <c r="K22" s="17" t="s">
        <v>34</v>
      </c>
      <c r="L22" s="18"/>
      <c r="M22" s="18"/>
      <c r="N22" s="18"/>
      <c r="O22" s="18"/>
    </row>
    <row r="23" customFormat="false" ht="35.05" hidden="false" customHeight="false" outlineLevel="0" collapsed="false">
      <c r="A23" s="19" t="s">
        <v>788</v>
      </c>
      <c r="B23" s="19" t="s">
        <v>752</v>
      </c>
      <c r="C23" s="20" t="s">
        <v>753</v>
      </c>
      <c r="D23" s="20" t="s">
        <v>754</v>
      </c>
      <c r="E23" s="20" t="s">
        <v>755</v>
      </c>
      <c r="F23" s="19" t="s">
        <v>29</v>
      </c>
      <c r="G23" s="20" t="s">
        <v>789</v>
      </c>
      <c r="H23" s="20" t="s">
        <v>790</v>
      </c>
      <c r="I23" s="19" t="s">
        <v>33</v>
      </c>
      <c r="J23" s="20" t="s">
        <v>758</v>
      </c>
      <c r="K23" s="17" t="s">
        <v>34</v>
      </c>
      <c r="L23" s="18"/>
      <c r="M23" s="18"/>
      <c r="N23" s="18"/>
      <c r="O23" s="18"/>
    </row>
    <row r="24" customFormat="false" ht="35.05" hidden="false" customHeight="false" outlineLevel="0" collapsed="false">
      <c r="A24" s="19" t="s">
        <v>791</v>
      </c>
      <c r="B24" s="19" t="s">
        <v>752</v>
      </c>
      <c r="C24" s="20" t="s">
        <v>753</v>
      </c>
      <c r="D24" s="20" t="s">
        <v>754</v>
      </c>
      <c r="E24" s="20" t="s">
        <v>755</v>
      </c>
      <c r="F24" s="19" t="s">
        <v>29</v>
      </c>
      <c r="G24" s="20" t="s">
        <v>792</v>
      </c>
      <c r="H24" s="20" t="s">
        <v>793</v>
      </c>
      <c r="I24" s="19" t="s">
        <v>33</v>
      </c>
      <c r="J24" s="20" t="s">
        <v>758</v>
      </c>
      <c r="K24" s="17" t="s">
        <v>34</v>
      </c>
      <c r="L24" s="18"/>
      <c r="M24" s="18"/>
      <c r="N24" s="18"/>
      <c r="O24" s="18"/>
    </row>
    <row r="25" customFormat="false" ht="35.05" hidden="false" customHeight="false" outlineLevel="0" collapsed="false">
      <c r="A25" s="19" t="s">
        <v>794</v>
      </c>
      <c r="B25" s="19" t="s">
        <v>752</v>
      </c>
      <c r="C25" s="20" t="s">
        <v>753</v>
      </c>
      <c r="D25" s="20" t="s">
        <v>754</v>
      </c>
      <c r="E25" s="20" t="s">
        <v>755</v>
      </c>
      <c r="F25" s="19" t="s">
        <v>29</v>
      </c>
      <c r="G25" s="20" t="s">
        <v>795</v>
      </c>
      <c r="H25" s="20" t="s">
        <v>796</v>
      </c>
      <c r="I25" s="19" t="s">
        <v>32</v>
      </c>
      <c r="J25" s="20" t="s">
        <v>758</v>
      </c>
      <c r="K25" s="17" t="s">
        <v>34</v>
      </c>
      <c r="L25" s="18"/>
      <c r="M25" s="18"/>
      <c r="N25" s="18"/>
      <c r="O25" s="18"/>
    </row>
    <row r="26" customFormat="false" ht="23.85" hidden="false" customHeight="false" outlineLevel="0" collapsed="false">
      <c r="A26" s="15" t="s">
        <v>797</v>
      </c>
      <c r="B26" s="15" t="s">
        <v>798</v>
      </c>
      <c r="C26" s="16" t="s">
        <v>799</v>
      </c>
      <c r="D26" s="16" t="s">
        <v>800</v>
      </c>
      <c r="E26" s="16" t="s">
        <v>801</v>
      </c>
      <c r="F26" s="15" t="s">
        <v>27</v>
      </c>
      <c r="G26" s="16" t="s">
        <v>802</v>
      </c>
      <c r="H26" s="16" t="s">
        <v>803</v>
      </c>
      <c r="I26" s="15" t="s">
        <v>31</v>
      </c>
      <c r="J26" s="16" t="s">
        <v>804</v>
      </c>
      <c r="K26" s="17" t="s">
        <v>34</v>
      </c>
      <c r="L26" s="18"/>
      <c r="M26" s="18"/>
      <c r="N26" s="18"/>
      <c r="O26" s="18"/>
    </row>
    <row r="27" customFormat="false" ht="23.85" hidden="false" customHeight="false" outlineLevel="0" collapsed="false">
      <c r="A27" s="15" t="s">
        <v>805</v>
      </c>
      <c r="B27" s="15" t="s">
        <v>798</v>
      </c>
      <c r="C27" s="16" t="s">
        <v>799</v>
      </c>
      <c r="D27" s="16" t="s">
        <v>800</v>
      </c>
      <c r="E27" s="16" t="s">
        <v>801</v>
      </c>
      <c r="F27" s="15" t="s">
        <v>27</v>
      </c>
      <c r="G27" s="16" t="s">
        <v>806</v>
      </c>
      <c r="H27" s="16" t="s">
        <v>807</v>
      </c>
      <c r="I27" s="15" t="s">
        <v>31</v>
      </c>
      <c r="J27" s="16" t="s">
        <v>804</v>
      </c>
      <c r="K27" s="17" t="s">
        <v>34</v>
      </c>
      <c r="L27" s="18"/>
      <c r="M27" s="18"/>
      <c r="N27" s="18"/>
      <c r="O27" s="18"/>
    </row>
    <row r="28" customFormat="false" ht="23.85" hidden="false" customHeight="false" outlineLevel="0" collapsed="false">
      <c r="A28" s="15" t="s">
        <v>808</v>
      </c>
      <c r="B28" s="15" t="s">
        <v>798</v>
      </c>
      <c r="C28" s="16" t="s">
        <v>799</v>
      </c>
      <c r="D28" s="16" t="s">
        <v>800</v>
      </c>
      <c r="E28" s="16" t="s">
        <v>801</v>
      </c>
      <c r="F28" s="15" t="s">
        <v>27</v>
      </c>
      <c r="G28" s="16" t="s">
        <v>809</v>
      </c>
      <c r="H28" s="16" t="s">
        <v>810</v>
      </c>
      <c r="I28" s="15" t="s">
        <v>31</v>
      </c>
      <c r="J28" s="16" t="s">
        <v>804</v>
      </c>
      <c r="K28" s="17" t="s">
        <v>34</v>
      </c>
      <c r="L28" s="18"/>
      <c r="M28" s="18"/>
      <c r="N28" s="18"/>
      <c r="O28" s="18"/>
    </row>
    <row r="29" customFormat="false" ht="23.85" hidden="false" customHeight="false" outlineLevel="0" collapsed="false">
      <c r="A29" s="15" t="s">
        <v>811</v>
      </c>
      <c r="B29" s="15" t="s">
        <v>798</v>
      </c>
      <c r="C29" s="16" t="s">
        <v>799</v>
      </c>
      <c r="D29" s="16" t="s">
        <v>800</v>
      </c>
      <c r="E29" s="16" t="s">
        <v>801</v>
      </c>
      <c r="F29" s="15" t="s">
        <v>29</v>
      </c>
      <c r="G29" s="16" t="s">
        <v>812</v>
      </c>
      <c r="H29" s="16" t="s">
        <v>813</v>
      </c>
      <c r="I29" s="15" t="s">
        <v>33</v>
      </c>
      <c r="J29" s="16" t="s">
        <v>804</v>
      </c>
      <c r="K29" s="17" t="s">
        <v>34</v>
      </c>
      <c r="L29" s="18"/>
      <c r="M29" s="18"/>
      <c r="N29" s="18"/>
      <c r="O29" s="18"/>
    </row>
    <row r="30" customFormat="false" ht="23.85" hidden="false" customHeight="false" outlineLevel="0" collapsed="false">
      <c r="A30" s="15" t="s">
        <v>814</v>
      </c>
      <c r="B30" s="15" t="s">
        <v>798</v>
      </c>
      <c r="C30" s="16" t="s">
        <v>799</v>
      </c>
      <c r="D30" s="16" t="s">
        <v>800</v>
      </c>
      <c r="E30" s="16" t="s">
        <v>801</v>
      </c>
      <c r="F30" s="15" t="s">
        <v>28</v>
      </c>
      <c r="G30" s="16" t="s">
        <v>815</v>
      </c>
      <c r="H30" s="16" t="s">
        <v>816</v>
      </c>
      <c r="I30" s="15" t="s">
        <v>32</v>
      </c>
      <c r="J30" s="16" t="s">
        <v>804</v>
      </c>
      <c r="K30" s="17" t="s">
        <v>34</v>
      </c>
      <c r="L30" s="18"/>
      <c r="M30" s="18"/>
      <c r="N30" s="18"/>
      <c r="O30" s="18"/>
    </row>
    <row r="31" customFormat="false" ht="35.05" hidden="false" customHeight="false" outlineLevel="0" collapsed="false">
      <c r="A31" s="15" t="s">
        <v>817</v>
      </c>
      <c r="B31" s="15" t="s">
        <v>798</v>
      </c>
      <c r="C31" s="16" t="s">
        <v>799</v>
      </c>
      <c r="D31" s="16" t="s">
        <v>800</v>
      </c>
      <c r="E31" s="16" t="s">
        <v>801</v>
      </c>
      <c r="F31" s="15" t="s">
        <v>28</v>
      </c>
      <c r="G31" s="16" t="s">
        <v>818</v>
      </c>
      <c r="H31" s="16" t="s">
        <v>819</v>
      </c>
      <c r="I31" s="15" t="s">
        <v>32</v>
      </c>
      <c r="J31" s="16" t="s">
        <v>804</v>
      </c>
      <c r="K31" s="17" t="s">
        <v>34</v>
      </c>
      <c r="L31" s="18"/>
      <c r="M31" s="18"/>
      <c r="N31" s="18"/>
      <c r="O31" s="18"/>
    </row>
    <row r="32" customFormat="false" ht="23.85" hidden="false" customHeight="false" outlineLevel="0" collapsed="false">
      <c r="A32" s="15" t="s">
        <v>820</v>
      </c>
      <c r="B32" s="15" t="s">
        <v>798</v>
      </c>
      <c r="C32" s="16" t="s">
        <v>799</v>
      </c>
      <c r="D32" s="16" t="s">
        <v>800</v>
      </c>
      <c r="E32" s="16" t="s">
        <v>801</v>
      </c>
      <c r="F32" s="15" t="s">
        <v>27</v>
      </c>
      <c r="G32" s="16" t="s">
        <v>821</v>
      </c>
      <c r="H32" s="16" t="s">
        <v>822</v>
      </c>
      <c r="I32" s="15" t="s">
        <v>31</v>
      </c>
      <c r="J32" s="16" t="s">
        <v>804</v>
      </c>
      <c r="K32" s="17" t="s">
        <v>34</v>
      </c>
      <c r="L32" s="18"/>
      <c r="M32" s="18"/>
      <c r="N32" s="18"/>
      <c r="O32" s="18"/>
    </row>
    <row r="33" customFormat="false" ht="23.85" hidden="false" customHeight="false" outlineLevel="0" collapsed="false">
      <c r="A33" s="15" t="s">
        <v>823</v>
      </c>
      <c r="B33" s="15" t="s">
        <v>798</v>
      </c>
      <c r="C33" s="16" t="s">
        <v>799</v>
      </c>
      <c r="D33" s="16" t="s">
        <v>800</v>
      </c>
      <c r="E33" s="16" t="s">
        <v>801</v>
      </c>
      <c r="F33" s="15" t="s">
        <v>29</v>
      </c>
      <c r="G33" s="16" t="s">
        <v>824</v>
      </c>
      <c r="H33" s="16" t="s">
        <v>825</v>
      </c>
      <c r="I33" s="15" t="s">
        <v>32</v>
      </c>
      <c r="J33" s="16" t="s">
        <v>804</v>
      </c>
      <c r="K33" s="17" t="s">
        <v>34</v>
      </c>
      <c r="L33" s="18"/>
      <c r="M33" s="18"/>
      <c r="N33" s="18"/>
      <c r="O33" s="18"/>
    </row>
    <row r="34" customFormat="false" ht="23.85" hidden="false" customHeight="false" outlineLevel="0" collapsed="false">
      <c r="A34" s="19" t="s">
        <v>826</v>
      </c>
      <c r="B34" s="19" t="s">
        <v>827</v>
      </c>
      <c r="C34" s="20" t="s">
        <v>828</v>
      </c>
      <c r="D34" s="20" t="s">
        <v>42</v>
      </c>
      <c r="E34" s="20" t="s">
        <v>829</v>
      </c>
      <c r="F34" s="19" t="s">
        <v>27</v>
      </c>
      <c r="G34" s="20" t="s">
        <v>830</v>
      </c>
      <c r="H34" s="20" t="s">
        <v>831</v>
      </c>
      <c r="I34" s="19" t="s">
        <v>31</v>
      </c>
      <c r="J34" s="20" t="s">
        <v>832</v>
      </c>
      <c r="K34" s="17" t="s">
        <v>34</v>
      </c>
      <c r="L34" s="18"/>
      <c r="M34" s="18"/>
      <c r="N34" s="18"/>
      <c r="O34" s="18"/>
    </row>
    <row r="35" customFormat="false" ht="23.85" hidden="false" customHeight="false" outlineLevel="0" collapsed="false">
      <c r="A35" s="19" t="s">
        <v>833</v>
      </c>
      <c r="B35" s="19" t="s">
        <v>827</v>
      </c>
      <c r="C35" s="20" t="s">
        <v>828</v>
      </c>
      <c r="D35" s="20" t="s">
        <v>42</v>
      </c>
      <c r="E35" s="20" t="s">
        <v>829</v>
      </c>
      <c r="F35" s="19" t="s">
        <v>27</v>
      </c>
      <c r="G35" s="20" t="s">
        <v>834</v>
      </c>
      <c r="H35" s="20" t="s">
        <v>835</v>
      </c>
      <c r="I35" s="19" t="s">
        <v>32</v>
      </c>
      <c r="J35" s="20" t="s">
        <v>832</v>
      </c>
      <c r="K35" s="17" t="s">
        <v>34</v>
      </c>
      <c r="L35" s="18"/>
      <c r="M35" s="18"/>
      <c r="N35" s="18"/>
      <c r="O35" s="18"/>
    </row>
    <row r="36" customFormat="false" ht="23.85" hidden="false" customHeight="false" outlineLevel="0" collapsed="false">
      <c r="A36" s="19" t="s">
        <v>836</v>
      </c>
      <c r="B36" s="19" t="s">
        <v>827</v>
      </c>
      <c r="C36" s="20" t="s">
        <v>828</v>
      </c>
      <c r="D36" s="20" t="s">
        <v>42</v>
      </c>
      <c r="E36" s="20" t="s">
        <v>829</v>
      </c>
      <c r="F36" s="19" t="s">
        <v>29</v>
      </c>
      <c r="G36" s="20" t="s">
        <v>837</v>
      </c>
      <c r="H36" s="20" t="s">
        <v>838</v>
      </c>
      <c r="I36" s="19" t="s">
        <v>33</v>
      </c>
      <c r="J36" s="20" t="s">
        <v>832</v>
      </c>
      <c r="K36" s="17" t="s">
        <v>34</v>
      </c>
      <c r="L36" s="18"/>
      <c r="M36" s="18"/>
      <c r="N36" s="18"/>
      <c r="O36" s="18"/>
    </row>
    <row r="37" customFormat="false" ht="23.85" hidden="false" customHeight="false" outlineLevel="0" collapsed="false">
      <c r="A37" s="19" t="s">
        <v>839</v>
      </c>
      <c r="B37" s="19" t="s">
        <v>827</v>
      </c>
      <c r="C37" s="20" t="s">
        <v>828</v>
      </c>
      <c r="D37" s="20" t="s">
        <v>42</v>
      </c>
      <c r="E37" s="20" t="s">
        <v>829</v>
      </c>
      <c r="F37" s="19" t="s">
        <v>28</v>
      </c>
      <c r="G37" s="20" t="s">
        <v>840</v>
      </c>
      <c r="H37" s="20" t="s">
        <v>841</v>
      </c>
      <c r="I37" s="19" t="s">
        <v>32</v>
      </c>
      <c r="J37" s="20" t="s">
        <v>832</v>
      </c>
      <c r="K37" s="17" t="s">
        <v>34</v>
      </c>
      <c r="L37" s="18"/>
      <c r="M37" s="18"/>
      <c r="N37" s="18"/>
      <c r="O37" s="18"/>
    </row>
    <row r="38" customFormat="false" ht="35.05" hidden="false" customHeight="false" outlineLevel="0" collapsed="false">
      <c r="A38" s="15" t="s">
        <v>842</v>
      </c>
      <c r="B38" s="15" t="s">
        <v>843</v>
      </c>
      <c r="C38" s="16" t="s">
        <v>844</v>
      </c>
      <c r="D38" s="16" t="s">
        <v>42</v>
      </c>
      <c r="E38" s="16" t="s">
        <v>845</v>
      </c>
      <c r="F38" s="15" t="s">
        <v>27</v>
      </c>
      <c r="G38" s="16" t="s">
        <v>846</v>
      </c>
      <c r="H38" s="16" t="s">
        <v>847</v>
      </c>
      <c r="I38" s="15" t="s">
        <v>31</v>
      </c>
      <c r="J38" s="16" t="s">
        <v>848</v>
      </c>
      <c r="K38" s="17" t="s">
        <v>34</v>
      </c>
      <c r="L38" s="18"/>
      <c r="M38" s="18"/>
      <c r="N38" s="18"/>
      <c r="O38" s="18"/>
    </row>
    <row r="39" customFormat="false" ht="35.05" hidden="false" customHeight="false" outlineLevel="0" collapsed="false">
      <c r="A39" s="15" t="s">
        <v>849</v>
      </c>
      <c r="B39" s="15" t="s">
        <v>843</v>
      </c>
      <c r="C39" s="16" t="s">
        <v>844</v>
      </c>
      <c r="D39" s="16" t="s">
        <v>42</v>
      </c>
      <c r="E39" s="16" t="s">
        <v>845</v>
      </c>
      <c r="F39" s="15" t="s">
        <v>29</v>
      </c>
      <c r="G39" s="16" t="s">
        <v>850</v>
      </c>
      <c r="H39" s="16" t="s">
        <v>851</v>
      </c>
      <c r="I39" s="15" t="s">
        <v>33</v>
      </c>
      <c r="J39" s="16" t="s">
        <v>848</v>
      </c>
      <c r="K39" s="17" t="s">
        <v>34</v>
      </c>
      <c r="L39" s="18"/>
      <c r="M39" s="18"/>
      <c r="N39" s="18"/>
      <c r="O39" s="18"/>
    </row>
    <row r="40" customFormat="false" ht="35.05" hidden="false" customHeight="false" outlineLevel="0" collapsed="false">
      <c r="A40" s="15" t="s">
        <v>852</v>
      </c>
      <c r="B40" s="15" t="s">
        <v>843</v>
      </c>
      <c r="C40" s="16" t="s">
        <v>844</v>
      </c>
      <c r="D40" s="16" t="s">
        <v>42</v>
      </c>
      <c r="E40" s="16" t="s">
        <v>845</v>
      </c>
      <c r="F40" s="15" t="s">
        <v>29</v>
      </c>
      <c r="G40" s="16" t="s">
        <v>853</v>
      </c>
      <c r="H40" s="16" t="s">
        <v>854</v>
      </c>
      <c r="I40" s="15" t="s">
        <v>33</v>
      </c>
      <c r="J40" s="16" t="s">
        <v>848</v>
      </c>
      <c r="K40" s="17" t="s">
        <v>34</v>
      </c>
      <c r="L40" s="18"/>
      <c r="M40" s="18"/>
      <c r="N40" s="18"/>
      <c r="O40" s="18"/>
    </row>
    <row r="41" customFormat="false" ht="35.05" hidden="false" customHeight="false" outlineLevel="0" collapsed="false">
      <c r="A41" s="15" t="s">
        <v>855</v>
      </c>
      <c r="B41" s="15" t="s">
        <v>843</v>
      </c>
      <c r="C41" s="16" t="s">
        <v>844</v>
      </c>
      <c r="D41" s="16" t="s">
        <v>42</v>
      </c>
      <c r="E41" s="16" t="s">
        <v>845</v>
      </c>
      <c r="F41" s="15" t="s">
        <v>28</v>
      </c>
      <c r="G41" s="16" t="s">
        <v>237</v>
      </c>
      <c r="H41" s="16" t="s">
        <v>856</v>
      </c>
      <c r="I41" s="15" t="s">
        <v>32</v>
      </c>
      <c r="J41" s="16" t="s">
        <v>848</v>
      </c>
      <c r="K41" s="17" t="s">
        <v>34</v>
      </c>
      <c r="L41" s="18"/>
      <c r="M41" s="18"/>
      <c r="N41" s="18"/>
      <c r="O41" s="18"/>
    </row>
    <row r="42" customFormat="false" ht="35.05" hidden="false" customHeight="false" outlineLevel="0" collapsed="false">
      <c r="A42" s="15" t="s">
        <v>857</v>
      </c>
      <c r="B42" s="15" t="s">
        <v>843</v>
      </c>
      <c r="C42" s="16" t="s">
        <v>844</v>
      </c>
      <c r="D42" s="16" t="s">
        <v>42</v>
      </c>
      <c r="E42" s="16" t="s">
        <v>845</v>
      </c>
      <c r="F42" s="15" t="s">
        <v>30</v>
      </c>
      <c r="G42" s="16" t="s">
        <v>858</v>
      </c>
      <c r="H42" s="16" t="s">
        <v>859</v>
      </c>
      <c r="I42" s="15" t="s">
        <v>31</v>
      </c>
      <c r="J42" s="16" t="s">
        <v>848</v>
      </c>
      <c r="K42" s="17" t="s">
        <v>34</v>
      </c>
      <c r="L42" s="18"/>
      <c r="M42" s="18"/>
      <c r="N42" s="18"/>
      <c r="O42" s="18"/>
    </row>
    <row r="43" customFormat="false" ht="35.05" hidden="false" customHeight="false" outlineLevel="0" collapsed="false">
      <c r="A43" s="15" t="s">
        <v>860</v>
      </c>
      <c r="B43" s="15" t="s">
        <v>843</v>
      </c>
      <c r="C43" s="16" t="s">
        <v>844</v>
      </c>
      <c r="D43" s="16" t="s">
        <v>42</v>
      </c>
      <c r="E43" s="16" t="s">
        <v>845</v>
      </c>
      <c r="F43" s="15" t="s">
        <v>29</v>
      </c>
      <c r="G43" s="16" t="s">
        <v>861</v>
      </c>
      <c r="H43" s="16" t="s">
        <v>862</v>
      </c>
      <c r="I43" s="15" t="s">
        <v>32</v>
      </c>
      <c r="J43" s="16" t="s">
        <v>848</v>
      </c>
      <c r="K43" s="17" t="s">
        <v>34</v>
      </c>
      <c r="L43" s="18"/>
      <c r="M43" s="18"/>
      <c r="N43" s="18"/>
      <c r="O43" s="18"/>
    </row>
    <row r="44" customFormat="false" ht="23.85" hidden="false" customHeight="false" outlineLevel="0" collapsed="false">
      <c r="A44" s="19" t="s">
        <v>863</v>
      </c>
      <c r="B44" s="19" t="s">
        <v>864</v>
      </c>
      <c r="C44" s="20" t="s">
        <v>865</v>
      </c>
      <c r="D44" s="20" t="s">
        <v>42</v>
      </c>
      <c r="E44" s="20" t="s">
        <v>845</v>
      </c>
      <c r="F44" s="19" t="s">
        <v>27</v>
      </c>
      <c r="G44" s="20" t="s">
        <v>866</v>
      </c>
      <c r="H44" s="20" t="s">
        <v>867</v>
      </c>
      <c r="I44" s="19" t="s">
        <v>31</v>
      </c>
      <c r="J44" s="20" t="s">
        <v>868</v>
      </c>
      <c r="K44" s="17" t="s">
        <v>34</v>
      </c>
      <c r="L44" s="18"/>
      <c r="M44" s="18"/>
      <c r="N44" s="18"/>
      <c r="O44" s="18"/>
    </row>
    <row r="45" customFormat="false" ht="23.85" hidden="false" customHeight="false" outlineLevel="0" collapsed="false">
      <c r="A45" s="19" t="s">
        <v>869</v>
      </c>
      <c r="B45" s="19" t="s">
        <v>864</v>
      </c>
      <c r="C45" s="20" t="s">
        <v>865</v>
      </c>
      <c r="D45" s="20" t="s">
        <v>42</v>
      </c>
      <c r="E45" s="20" t="s">
        <v>845</v>
      </c>
      <c r="F45" s="19" t="s">
        <v>29</v>
      </c>
      <c r="G45" s="20" t="s">
        <v>870</v>
      </c>
      <c r="H45" s="20" t="s">
        <v>871</v>
      </c>
      <c r="I45" s="19" t="s">
        <v>33</v>
      </c>
      <c r="J45" s="20" t="s">
        <v>868</v>
      </c>
      <c r="K45" s="17" t="s">
        <v>34</v>
      </c>
      <c r="L45" s="18"/>
      <c r="M45" s="18"/>
      <c r="N45" s="18"/>
      <c r="O45" s="18"/>
    </row>
    <row r="46" customFormat="false" ht="23.85" hidden="false" customHeight="false" outlineLevel="0" collapsed="false">
      <c r="A46" s="19" t="s">
        <v>872</v>
      </c>
      <c r="B46" s="19" t="s">
        <v>864</v>
      </c>
      <c r="C46" s="20" t="s">
        <v>865</v>
      </c>
      <c r="D46" s="20" t="s">
        <v>42</v>
      </c>
      <c r="E46" s="20" t="s">
        <v>845</v>
      </c>
      <c r="F46" s="19" t="s">
        <v>28</v>
      </c>
      <c r="G46" s="20" t="s">
        <v>873</v>
      </c>
      <c r="H46" s="20" t="s">
        <v>874</v>
      </c>
      <c r="I46" s="19" t="s">
        <v>32</v>
      </c>
      <c r="J46" s="20" t="s">
        <v>868</v>
      </c>
      <c r="K46" s="17" t="s">
        <v>34</v>
      </c>
      <c r="L46" s="18"/>
      <c r="M46" s="18"/>
      <c r="N46" s="18"/>
      <c r="O46" s="18"/>
    </row>
    <row r="47" customFormat="false" ht="23.85" hidden="false" customHeight="false" outlineLevel="0" collapsed="false">
      <c r="A47" s="19" t="s">
        <v>875</v>
      </c>
      <c r="B47" s="19" t="s">
        <v>864</v>
      </c>
      <c r="C47" s="20" t="s">
        <v>865</v>
      </c>
      <c r="D47" s="20" t="s">
        <v>42</v>
      </c>
      <c r="E47" s="20" t="s">
        <v>845</v>
      </c>
      <c r="F47" s="19" t="s">
        <v>28</v>
      </c>
      <c r="G47" s="20" t="s">
        <v>876</v>
      </c>
      <c r="H47" s="20" t="s">
        <v>877</v>
      </c>
      <c r="I47" s="19" t="s">
        <v>32</v>
      </c>
      <c r="J47" s="20" t="s">
        <v>868</v>
      </c>
      <c r="K47" s="17" t="s">
        <v>34</v>
      </c>
      <c r="L47" s="18"/>
      <c r="M47" s="18"/>
      <c r="N47" s="18"/>
      <c r="O47" s="18"/>
    </row>
    <row r="48" customFormat="false" ht="23.85" hidden="false" customHeight="false" outlineLevel="0" collapsed="false">
      <c r="A48" s="19" t="s">
        <v>878</v>
      </c>
      <c r="B48" s="19" t="s">
        <v>864</v>
      </c>
      <c r="C48" s="20" t="s">
        <v>865</v>
      </c>
      <c r="D48" s="20" t="s">
        <v>42</v>
      </c>
      <c r="E48" s="20" t="s">
        <v>845</v>
      </c>
      <c r="F48" s="19" t="s">
        <v>29</v>
      </c>
      <c r="G48" s="20" t="s">
        <v>879</v>
      </c>
      <c r="H48" s="20" t="s">
        <v>880</v>
      </c>
      <c r="I48" s="19" t="s">
        <v>33</v>
      </c>
      <c r="J48" s="20" t="s">
        <v>868</v>
      </c>
      <c r="K48" s="17" t="s">
        <v>34</v>
      </c>
      <c r="L48" s="18"/>
      <c r="M48" s="18"/>
      <c r="N48" s="18"/>
      <c r="O48" s="18"/>
    </row>
    <row r="49" customFormat="false" ht="23.85" hidden="false" customHeight="false" outlineLevel="0" collapsed="false">
      <c r="A49" s="19" t="s">
        <v>881</v>
      </c>
      <c r="B49" s="19" t="s">
        <v>864</v>
      </c>
      <c r="C49" s="20" t="s">
        <v>865</v>
      </c>
      <c r="D49" s="20" t="s">
        <v>42</v>
      </c>
      <c r="E49" s="20" t="s">
        <v>845</v>
      </c>
      <c r="F49" s="19" t="s">
        <v>30</v>
      </c>
      <c r="G49" s="20" t="s">
        <v>482</v>
      </c>
      <c r="H49" s="20" t="s">
        <v>882</v>
      </c>
      <c r="I49" s="19" t="s">
        <v>31</v>
      </c>
      <c r="J49" s="20" t="s">
        <v>868</v>
      </c>
      <c r="K49" s="17" t="s">
        <v>34</v>
      </c>
      <c r="L49" s="18"/>
      <c r="M49" s="18"/>
      <c r="N49" s="18"/>
      <c r="O49" s="18"/>
    </row>
    <row r="50" customFormat="false" ht="23.85" hidden="false" customHeight="false" outlineLevel="0" collapsed="false">
      <c r="A50" s="19" t="s">
        <v>883</v>
      </c>
      <c r="B50" s="19" t="s">
        <v>864</v>
      </c>
      <c r="C50" s="20" t="s">
        <v>865</v>
      </c>
      <c r="D50" s="20" t="s">
        <v>42</v>
      </c>
      <c r="E50" s="20" t="s">
        <v>845</v>
      </c>
      <c r="F50" s="19" t="s">
        <v>28</v>
      </c>
      <c r="G50" s="20" t="s">
        <v>884</v>
      </c>
      <c r="H50" s="20" t="s">
        <v>247</v>
      </c>
      <c r="I50" s="19" t="s">
        <v>32</v>
      </c>
      <c r="J50" s="20" t="s">
        <v>868</v>
      </c>
      <c r="K50" s="17" t="s">
        <v>34</v>
      </c>
      <c r="L50" s="18"/>
      <c r="M50" s="18"/>
      <c r="N50" s="18"/>
      <c r="O50" s="18"/>
    </row>
    <row r="51" customFormat="false" ht="35.05" hidden="false" customHeight="false" outlineLevel="0" collapsed="false">
      <c r="A51" s="15" t="s">
        <v>885</v>
      </c>
      <c r="B51" s="15" t="s">
        <v>886</v>
      </c>
      <c r="C51" s="16" t="s">
        <v>887</v>
      </c>
      <c r="D51" s="16" t="s">
        <v>42</v>
      </c>
      <c r="E51" s="16" t="s">
        <v>888</v>
      </c>
      <c r="F51" s="15" t="s">
        <v>27</v>
      </c>
      <c r="G51" s="16" t="s">
        <v>889</v>
      </c>
      <c r="H51" s="16" t="s">
        <v>890</v>
      </c>
      <c r="I51" s="15" t="s">
        <v>31</v>
      </c>
      <c r="J51" s="16" t="s">
        <v>891</v>
      </c>
      <c r="K51" s="17" t="s">
        <v>34</v>
      </c>
      <c r="L51" s="18"/>
      <c r="M51" s="18"/>
      <c r="N51" s="18"/>
      <c r="O51" s="18"/>
    </row>
    <row r="52" customFormat="false" ht="35.05" hidden="false" customHeight="false" outlineLevel="0" collapsed="false">
      <c r="A52" s="15" t="s">
        <v>892</v>
      </c>
      <c r="B52" s="15" t="s">
        <v>886</v>
      </c>
      <c r="C52" s="16" t="s">
        <v>887</v>
      </c>
      <c r="D52" s="16" t="s">
        <v>42</v>
      </c>
      <c r="E52" s="16" t="s">
        <v>888</v>
      </c>
      <c r="F52" s="15" t="s">
        <v>29</v>
      </c>
      <c r="G52" s="16" t="s">
        <v>893</v>
      </c>
      <c r="H52" s="16" t="s">
        <v>894</v>
      </c>
      <c r="I52" s="15" t="s">
        <v>33</v>
      </c>
      <c r="J52" s="16" t="s">
        <v>891</v>
      </c>
      <c r="K52" s="17" t="s">
        <v>34</v>
      </c>
      <c r="L52" s="18"/>
      <c r="M52" s="18"/>
      <c r="N52" s="18"/>
      <c r="O52" s="18"/>
    </row>
    <row r="53" customFormat="false" ht="35.05" hidden="false" customHeight="false" outlineLevel="0" collapsed="false">
      <c r="A53" s="15" t="s">
        <v>895</v>
      </c>
      <c r="B53" s="15" t="s">
        <v>886</v>
      </c>
      <c r="C53" s="16" t="s">
        <v>887</v>
      </c>
      <c r="D53" s="16" t="s">
        <v>42</v>
      </c>
      <c r="E53" s="16" t="s">
        <v>888</v>
      </c>
      <c r="F53" s="15" t="s">
        <v>28</v>
      </c>
      <c r="G53" s="16" t="s">
        <v>896</v>
      </c>
      <c r="H53" s="16" t="s">
        <v>897</v>
      </c>
      <c r="I53" s="15" t="s">
        <v>32</v>
      </c>
      <c r="J53" s="16" t="s">
        <v>891</v>
      </c>
      <c r="K53" s="17" t="s">
        <v>34</v>
      </c>
      <c r="L53" s="18"/>
      <c r="M53" s="18"/>
      <c r="N53" s="18"/>
      <c r="O53" s="18"/>
    </row>
    <row r="54" customFormat="false" ht="35.05" hidden="false" customHeight="false" outlineLevel="0" collapsed="false">
      <c r="A54" s="15" t="s">
        <v>898</v>
      </c>
      <c r="B54" s="15" t="s">
        <v>886</v>
      </c>
      <c r="C54" s="16" t="s">
        <v>887</v>
      </c>
      <c r="D54" s="16" t="s">
        <v>42</v>
      </c>
      <c r="E54" s="16" t="s">
        <v>888</v>
      </c>
      <c r="F54" s="15" t="s">
        <v>27</v>
      </c>
      <c r="G54" s="16" t="s">
        <v>899</v>
      </c>
      <c r="H54" s="16" t="s">
        <v>900</v>
      </c>
      <c r="I54" s="15" t="s">
        <v>31</v>
      </c>
      <c r="J54" s="16" t="s">
        <v>891</v>
      </c>
      <c r="K54" s="17" t="s">
        <v>34</v>
      </c>
      <c r="L54" s="18"/>
      <c r="M54" s="18"/>
      <c r="N54" s="18"/>
      <c r="O54" s="18"/>
    </row>
    <row r="55" customFormat="false" ht="35.05" hidden="false" customHeight="false" outlineLevel="0" collapsed="false">
      <c r="A55" s="15" t="s">
        <v>901</v>
      </c>
      <c r="B55" s="15" t="s">
        <v>886</v>
      </c>
      <c r="C55" s="16" t="s">
        <v>887</v>
      </c>
      <c r="D55" s="16" t="s">
        <v>42</v>
      </c>
      <c r="E55" s="16" t="s">
        <v>888</v>
      </c>
      <c r="F55" s="15" t="s">
        <v>28</v>
      </c>
      <c r="G55" s="16" t="s">
        <v>902</v>
      </c>
      <c r="H55" s="16" t="s">
        <v>903</v>
      </c>
      <c r="I55" s="15" t="s">
        <v>32</v>
      </c>
      <c r="J55" s="16" t="s">
        <v>891</v>
      </c>
      <c r="K55" s="17" t="s">
        <v>34</v>
      </c>
      <c r="L55" s="18"/>
      <c r="M55" s="18"/>
      <c r="N55" s="18"/>
      <c r="O55" s="18"/>
    </row>
    <row r="56" customFormat="false" ht="35.05" hidden="false" customHeight="false" outlineLevel="0" collapsed="false">
      <c r="A56" s="15" t="s">
        <v>904</v>
      </c>
      <c r="B56" s="15" t="s">
        <v>886</v>
      </c>
      <c r="C56" s="16" t="s">
        <v>887</v>
      </c>
      <c r="D56" s="16" t="s">
        <v>42</v>
      </c>
      <c r="E56" s="16" t="s">
        <v>888</v>
      </c>
      <c r="F56" s="15" t="s">
        <v>28</v>
      </c>
      <c r="G56" s="16" t="s">
        <v>905</v>
      </c>
      <c r="H56" s="16" t="s">
        <v>906</v>
      </c>
      <c r="I56" s="15" t="s">
        <v>32</v>
      </c>
      <c r="J56" s="16" t="s">
        <v>891</v>
      </c>
      <c r="K56" s="17" t="s">
        <v>34</v>
      </c>
      <c r="L56" s="18"/>
      <c r="M56" s="18"/>
      <c r="N56" s="18"/>
      <c r="O56" s="18"/>
    </row>
    <row r="57" customFormat="false" ht="35.05" hidden="false" customHeight="false" outlineLevel="0" collapsed="false">
      <c r="A57" s="15" t="s">
        <v>907</v>
      </c>
      <c r="B57" s="15" t="s">
        <v>886</v>
      </c>
      <c r="C57" s="16" t="s">
        <v>887</v>
      </c>
      <c r="D57" s="16" t="s">
        <v>42</v>
      </c>
      <c r="E57" s="16" t="s">
        <v>888</v>
      </c>
      <c r="F57" s="15" t="s">
        <v>30</v>
      </c>
      <c r="G57" s="16" t="s">
        <v>908</v>
      </c>
      <c r="H57" s="16" t="s">
        <v>909</v>
      </c>
      <c r="I57" s="15" t="s">
        <v>31</v>
      </c>
      <c r="J57" s="16" t="s">
        <v>891</v>
      </c>
      <c r="K57" s="17" t="s">
        <v>34</v>
      </c>
      <c r="L57" s="18"/>
      <c r="M57" s="18"/>
      <c r="N57" s="18"/>
      <c r="O57" s="18"/>
    </row>
    <row r="58" customFormat="false" ht="23.85" hidden="false" customHeight="false" outlineLevel="0" collapsed="false">
      <c r="A58" s="19" t="s">
        <v>910</v>
      </c>
      <c r="B58" s="19" t="s">
        <v>911</v>
      </c>
      <c r="C58" s="20" t="s">
        <v>912</v>
      </c>
      <c r="D58" s="20" t="s">
        <v>913</v>
      </c>
      <c r="E58" s="20" t="s">
        <v>914</v>
      </c>
      <c r="F58" s="19" t="s">
        <v>27</v>
      </c>
      <c r="G58" s="20" t="s">
        <v>915</v>
      </c>
      <c r="H58" s="20" t="s">
        <v>916</v>
      </c>
      <c r="I58" s="19" t="s">
        <v>31</v>
      </c>
      <c r="J58" s="20" t="s">
        <v>917</v>
      </c>
      <c r="K58" s="17" t="s">
        <v>34</v>
      </c>
      <c r="L58" s="18"/>
      <c r="M58" s="18"/>
      <c r="N58" s="18"/>
      <c r="O58" s="18"/>
    </row>
    <row r="59" customFormat="false" ht="23.85" hidden="false" customHeight="false" outlineLevel="0" collapsed="false">
      <c r="A59" s="19" t="s">
        <v>918</v>
      </c>
      <c r="B59" s="19" t="s">
        <v>911</v>
      </c>
      <c r="C59" s="20" t="s">
        <v>912</v>
      </c>
      <c r="D59" s="20" t="s">
        <v>913</v>
      </c>
      <c r="E59" s="20" t="s">
        <v>914</v>
      </c>
      <c r="F59" s="19" t="s">
        <v>27</v>
      </c>
      <c r="G59" s="20" t="s">
        <v>919</v>
      </c>
      <c r="H59" s="20" t="s">
        <v>920</v>
      </c>
      <c r="I59" s="19" t="s">
        <v>31</v>
      </c>
      <c r="J59" s="20" t="s">
        <v>917</v>
      </c>
      <c r="K59" s="17" t="s">
        <v>34</v>
      </c>
      <c r="L59" s="18"/>
      <c r="M59" s="18"/>
      <c r="N59" s="18"/>
      <c r="O59" s="18"/>
    </row>
    <row r="60" customFormat="false" ht="23.85" hidden="false" customHeight="false" outlineLevel="0" collapsed="false">
      <c r="A60" s="19" t="s">
        <v>921</v>
      </c>
      <c r="B60" s="19" t="s">
        <v>911</v>
      </c>
      <c r="C60" s="20" t="s">
        <v>912</v>
      </c>
      <c r="D60" s="20" t="s">
        <v>913</v>
      </c>
      <c r="E60" s="20" t="s">
        <v>914</v>
      </c>
      <c r="F60" s="19" t="s">
        <v>28</v>
      </c>
      <c r="G60" s="20" t="s">
        <v>896</v>
      </c>
      <c r="H60" s="20" t="s">
        <v>922</v>
      </c>
      <c r="I60" s="19" t="s">
        <v>32</v>
      </c>
      <c r="J60" s="20" t="s">
        <v>917</v>
      </c>
      <c r="K60" s="17" t="s">
        <v>34</v>
      </c>
      <c r="L60" s="18"/>
      <c r="M60" s="18"/>
      <c r="N60" s="18"/>
      <c r="O60" s="18"/>
    </row>
    <row r="61" customFormat="false" ht="23.85" hidden="false" customHeight="false" outlineLevel="0" collapsed="false">
      <c r="A61" s="19" t="s">
        <v>923</v>
      </c>
      <c r="B61" s="19" t="s">
        <v>911</v>
      </c>
      <c r="C61" s="20" t="s">
        <v>912</v>
      </c>
      <c r="D61" s="20" t="s">
        <v>913</v>
      </c>
      <c r="E61" s="20" t="s">
        <v>914</v>
      </c>
      <c r="F61" s="19" t="s">
        <v>29</v>
      </c>
      <c r="G61" s="20" t="s">
        <v>924</v>
      </c>
      <c r="H61" s="20" t="s">
        <v>925</v>
      </c>
      <c r="I61" s="19" t="s">
        <v>33</v>
      </c>
      <c r="J61" s="20" t="s">
        <v>917</v>
      </c>
      <c r="K61" s="17" t="s">
        <v>34</v>
      </c>
      <c r="L61" s="18"/>
      <c r="M61" s="18"/>
      <c r="N61" s="18"/>
      <c r="O61" s="18"/>
    </row>
    <row r="62" customFormat="false" ht="23.85" hidden="false" customHeight="false" outlineLevel="0" collapsed="false">
      <c r="A62" s="15" t="s">
        <v>926</v>
      </c>
      <c r="B62" s="15" t="s">
        <v>927</v>
      </c>
      <c r="C62" s="16" t="s">
        <v>928</v>
      </c>
      <c r="D62" s="16" t="s">
        <v>42</v>
      </c>
      <c r="E62" s="16" t="s">
        <v>929</v>
      </c>
      <c r="F62" s="15" t="s">
        <v>27</v>
      </c>
      <c r="G62" s="16" t="s">
        <v>930</v>
      </c>
      <c r="H62" s="16" t="s">
        <v>931</v>
      </c>
      <c r="I62" s="15" t="s">
        <v>31</v>
      </c>
      <c r="J62" s="16" t="s">
        <v>932</v>
      </c>
      <c r="K62" s="17" t="s">
        <v>34</v>
      </c>
      <c r="L62" s="18"/>
      <c r="M62" s="18"/>
      <c r="N62" s="18"/>
      <c r="O62" s="18"/>
    </row>
    <row r="63" customFormat="false" ht="35.05" hidden="false" customHeight="false" outlineLevel="0" collapsed="false">
      <c r="A63" s="15" t="s">
        <v>933</v>
      </c>
      <c r="B63" s="15" t="s">
        <v>927</v>
      </c>
      <c r="C63" s="16" t="s">
        <v>928</v>
      </c>
      <c r="D63" s="16" t="s">
        <v>42</v>
      </c>
      <c r="E63" s="16" t="s">
        <v>929</v>
      </c>
      <c r="F63" s="15" t="s">
        <v>29</v>
      </c>
      <c r="G63" s="16" t="s">
        <v>934</v>
      </c>
      <c r="H63" s="16" t="s">
        <v>935</v>
      </c>
      <c r="I63" s="15" t="s">
        <v>33</v>
      </c>
      <c r="J63" s="16" t="s">
        <v>932</v>
      </c>
      <c r="K63" s="17" t="s">
        <v>34</v>
      </c>
      <c r="L63" s="18"/>
      <c r="M63" s="18"/>
      <c r="N63" s="18"/>
      <c r="O63" s="18"/>
    </row>
    <row r="64" customFormat="false" ht="23.85" hidden="false" customHeight="false" outlineLevel="0" collapsed="false">
      <c r="A64" s="15" t="s">
        <v>936</v>
      </c>
      <c r="B64" s="15" t="s">
        <v>927</v>
      </c>
      <c r="C64" s="16" t="s">
        <v>928</v>
      </c>
      <c r="D64" s="16" t="s">
        <v>42</v>
      </c>
      <c r="E64" s="16" t="s">
        <v>929</v>
      </c>
      <c r="F64" s="15" t="s">
        <v>28</v>
      </c>
      <c r="G64" s="16" t="s">
        <v>937</v>
      </c>
      <c r="H64" s="16" t="s">
        <v>938</v>
      </c>
      <c r="I64" s="15" t="s">
        <v>32</v>
      </c>
      <c r="J64" s="16" t="s">
        <v>932</v>
      </c>
      <c r="K64" s="17" t="s">
        <v>34</v>
      </c>
      <c r="L64" s="18"/>
      <c r="M64" s="18"/>
      <c r="N64" s="18"/>
      <c r="O64" s="18"/>
    </row>
    <row r="65" customFormat="false" ht="23.85" hidden="false" customHeight="false" outlineLevel="0" collapsed="false">
      <c r="A65" s="15" t="s">
        <v>939</v>
      </c>
      <c r="B65" s="15" t="s">
        <v>927</v>
      </c>
      <c r="C65" s="16" t="s">
        <v>928</v>
      </c>
      <c r="D65" s="16" t="s">
        <v>42</v>
      </c>
      <c r="E65" s="16" t="s">
        <v>929</v>
      </c>
      <c r="F65" s="15" t="s">
        <v>30</v>
      </c>
      <c r="G65" s="16" t="s">
        <v>940</v>
      </c>
      <c r="H65" s="16" t="s">
        <v>941</v>
      </c>
      <c r="I65" s="15" t="s">
        <v>31</v>
      </c>
      <c r="J65" s="16" t="s">
        <v>932</v>
      </c>
      <c r="K65" s="17" t="s">
        <v>34</v>
      </c>
      <c r="L65" s="18"/>
      <c r="M65" s="18"/>
      <c r="N65" s="18"/>
      <c r="O65" s="18"/>
    </row>
    <row r="66" customFormat="false" ht="23.85" hidden="false" customHeight="false" outlineLevel="0" collapsed="false">
      <c r="A66" s="15" t="s">
        <v>942</v>
      </c>
      <c r="B66" s="15" t="s">
        <v>927</v>
      </c>
      <c r="C66" s="16" t="s">
        <v>928</v>
      </c>
      <c r="D66" s="16" t="s">
        <v>42</v>
      </c>
      <c r="E66" s="16" t="s">
        <v>929</v>
      </c>
      <c r="F66" s="15" t="s">
        <v>28</v>
      </c>
      <c r="G66" s="16" t="s">
        <v>781</v>
      </c>
      <c r="H66" s="16" t="s">
        <v>943</v>
      </c>
      <c r="I66" s="15" t="s">
        <v>32</v>
      </c>
      <c r="J66" s="16" t="s">
        <v>932</v>
      </c>
      <c r="K66" s="17" t="s">
        <v>34</v>
      </c>
      <c r="L66" s="18"/>
      <c r="M66" s="18"/>
      <c r="N66" s="18"/>
      <c r="O66" s="18"/>
    </row>
    <row r="67" customFormat="false" ht="23.85" hidden="false" customHeight="false" outlineLevel="0" collapsed="false">
      <c r="A67" s="15" t="s">
        <v>944</v>
      </c>
      <c r="B67" s="15" t="s">
        <v>927</v>
      </c>
      <c r="C67" s="16" t="s">
        <v>928</v>
      </c>
      <c r="D67" s="16" t="s">
        <v>42</v>
      </c>
      <c r="E67" s="16" t="s">
        <v>929</v>
      </c>
      <c r="F67" s="15" t="s">
        <v>29</v>
      </c>
      <c r="G67" s="16" t="s">
        <v>945</v>
      </c>
      <c r="H67" s="16" t="s">
        <v>946</v>
      </c>
      <c r="I67" s="15" t="s">
        <v>33</v>
      </c>
      <c r="J67" s="16" t="s">
        <v>932</v>
      </c>
      <c r="K67" s="17" t="s">
        <v>34</v>
      </c>
      <c r="L67" s="18"/>
      <c r="M67" s="18"/>
      <c r="N67" s="18"/>
      <c r="O67" s="18"/>
    </row>
    <row r="68" customFormat="false" ht="23.85" hidden="false" customHeight="false" outlineLevel="0" collapsed="false">
      <c r="A68" s="15" t="s">
        <v>947</v>
      </c>
      <c r="B68" s="15" t="s">
        <v>927</v>
      </c>
      <c r="C68" s="16" t="s">
        <v>928</v>
      </c>
      <c r="D68" s="16" t="s">
        <v>42</v>
      </c>
      <c r="E68" s="16" t="s">
        <v>929</v>
      </c>
      <c r="F68" s="15" t="s">
        <v>29</v>
      </c>
      <c r="G68" s="16" t="s">
        <v>948</v>
      </c>
      <c r="H68" s="16" t="s">
        <v>949</v>
      </c>
      <c r="I68" s="15" t="s">
        <v>33</v>
      </c>
      <c r="J68" s="16" t="s">
        <v>932</v>
      </c>
      <c r="K68" s="17" t="s">
        <v>34</v>
      </c>
      <c r="L68" s="18"/>
      <c r="M68" s="18"/>
      <c r="N68" s="18"/>
      <c r="O68" s="18"/>
    </row>
    <row r="69" customFormat="false" ht="23.85" hidden="false" customHeight="false" outlineLevel="0" collapsed="false">
      <c r="A69" s="19" t="s">
        <v>950</v>
      </c>
      <c r="B69" s="19" t="s">
        <v>951</v>
      </c>
      <c r="C69" s="20" t="s">
        <v>952</v>
      </c>
      <c r="D69" s="20" t="s">
        <v>42</v>
      </c>
      <c r="E69" s="20" t="s">
        <v>953</v>
      </c>
      <c r="F69" s="19" t="s">
        <v>27</v>
      </c>
      <c r="G69" s="20" t="s">
        <v>215</v>
      </c>
      <c r="H69" s="20" t="s">
        <v>954</v>
      </c>
      <c r="I69" s="19" t="s">
        <v>31</v>
      </c>
      <c r="J69" s="20" t="s">
        <v>955</v>
      </c>
      <c r="K69" s="17" t="s">
        <v>34</v>
      </c>
      <c r="L69" s="18"/>
      <c r="M69" s="18"/>
      <c r="N69" s="18"/>
      <c r="O69" s="18"/>
    </row>
    <row r="70" customFormat="false" ht="15" hidden="false" customHeight="false" outlineLevel="0" collapsed="false">
      <c r="A70" s="19" t="s">
        <v>956</v>
      </c>
      <c r="B70" s="19" t="s">
        <v>951</v>
      </c>
      <c r="C70" s="20" t="s">
        <v>952</v>
      </c>
      <c r="D70" s="20" t="s">
        <v>42</v>
      </c>
      <c r="E70" s="20" t="s">
        <v>953</v>
      </c>
      <c r="F70" s="19" t="s">
        <v>27</v>
      </c>
      <c r="G70" s="20" t="s">
        <v>957</v>
      </c>
      <c r="H70" s="20" t="s">
        <v>958</v>
      </c>
      <c r="I70" s="19" t="s">
        <v>31</v>
      </c>
      <c r="J70" s="20" t="s">
        <v>955</v>
      </c>
      <c r="K70" s="17" t="s">
        <v>34</v>
      </c>
      <c r="L70" s="18"/>
      <c r="M70" s="18"/>
      <c r="N70" s="18"/>
      <c r="O70" s="18"/>
    </row>
    <row r="71" customFormat="false" ht="23.85" hidden="false" customHeight="false" outlineLevel="0" collapsed="false">
      <c r="A71" s="19" t="s">
        <v>959</v>
      </c>
      <c r="B71" s="19" t="s">
        <v>951</v>
      </c>
      <c r="C71" s="20" t="s">
        <v>952</v>
      </c>
      <c r="D71" s="20" t="s">
        <v>42</v>
      </c>
      <c r="E71" s="20" t="s">
        <v>953</v>
      </c>
      <c r="F71" s="19" t="s">
        <v>29</v>
      </c>
      <c r="G71" s="20" t="s">
        <v>960</v>
      </c>
      <c r="H71" s="20" t="s">
        <v>961</v>
      </c>
      <c r="I71" s="19" t="s">
        <v>33</v>
      </c>
      <c r="J71" s="20" t="s">
        <v>955</v>
      </c>
      <c r="K71" s="17" t="s">
        <v>34</v>
      </c>
      <c r="L71" s="18"/>
      <c r="M71" s="18"/>
      <c r="N71" s="18"/>
      <c r="O71" s="18"/>
    </row>
    <row r="72" customFormat="false" ht="15" hidden="false" customHeight="false" outlineLevel="0" collapsed="false">
      <c r="A72" s="19" t="s">
        <v>962</v>
      </c>
      <c r="B72" s="19" t="s">
        <v>951</v>
      </c>
      <c r="C72" s="20" t="s">
        <v>952</v>
      </c>
      <c r="D72" s="20" t="s">
        <v>42</v>
      </c>
      <c r="E72" s="20" t="s">
        <v>953</v>
      </c>
      <c r="F72" s="19" t="s">
        <v>29</v>
      </c>
      <c r="G72" s="20" t="s">
        <v>963</v>
      </c>
      <c r="H72" s="20" t="s">
        <v>964</v>
      </c>
      <c r="I72" s="19" t="s">
        <v>33</v>
      </c>
      <c r="J72" s="20" t="s">
        <v>955</v>
      </c>
      <c r="K72" s="17" t="s">
        <v>34</v>
      </c>
      <c r="L72" s="18"/>
      <c r="M72" s="18"/>
      <c r="N72" s="18"/>
      <c r="O72" s="18"/>
    </row>
    <row r="73" customFormat="false" ht="15" hidden="false" customHeight="false" outlineLevel="0" collapsed="false">
      <c r="A73" s="19" t="s">
        <v>965</v>
      </c>
      <c r="B73" s="19" t="s">
        <v>951</v>
      </c>
      <c r="C73" s="20" t="s">
        <v>952</v>
      </c>
      <c r="D73" s="20" t="s">
        <v>42</v>
      </c>
      <c r="E73" s="20" t="s">
        <v>953</v>
      </c>
      <c r="F73" s="19" t="s">
        <v>29</v>
      </c>
      <c r="G73" s="20" t="s">
        <v>966</v>
      </c>
      <c r="H73" s="20" t="s">
        <v>967</v>
      </c>
      <c r="I73" s="19" t="s">
        <v>33</v>
      </c>
      <c r="J73" s="20" t="s">
        <v>955</v>
      </c>
      <c r="K73" s="17" t="s">
        <v>34</v>
      </c>
      <c r="L73" s="18"/>
      <c r="M73" s="18"/>
      <c r="N73" s="18"/>
      <c r="O73" s="18"/>
    </row>
    <row r="74" customFormat="false" ht="23.85" hidden="false" customHeight="false" outlineLevel="0" collapsed="false">
      <c r="A74" s="19" t="s">
        <v>968</v>
      </c>
      <c r="B74" s="19" t="s">
        <v>951</v>
      </c>
      <c r="C74" s="20" t="s">
        <v>952</v>
      </c>
      <c r="D74" s="20" t="s">
        <v>42</v>
      </c>
      <c r="E74" s="20" t="s">
        <v>953</v>
      </c>
      <c r="F74" s="19" t="s">
        <v>29</v>
      </c>
      <c r="G74" s="20" t="s">
        <v>969</v>
      </c>
      <c r="H74" s="20" t="s">
        <v>970</v>
      </c>
      <c r="I74" s="19" t="s">
        <v>32</v>
      </c>
      <c r="J74" s="20" t="s">
        <v>955</v>
      </c>
      <c r="K74" s="17" t="s">
        <v>34</v>
      </c>
      <c r="L74" s="18"/>
      <c r="M74" s="18"/>
      <c r="N74" s="18"/>
      <c r="O74" s="18"/>
    </row>
    <row r="75" customFormat="false" ht="23.85" hidden="false" customHeight="false" outlineLevel="0" collapsed="false">
      <c r="A75" s="15" t="s">
        <v>971</v>
      </c>
      <c r="B75" s="15" t="s">
        <v>972</v>
      </c>
      <c r="C75" s="16" t="s">
        <v>973</v>
      </c>
      <c r="D75" s="16" t="s">
        <v>42</v>
      </c>
      <c r="E75" s="16" t="s">
        <v>974</v>
      </c>
      <c r="F75" s="15" t="s">
        <v>27</v>
      </c>
      <c r="G75" s="16" t="s">
        <v>215</v>
      </c>
      <c r="H75" s="16" t="s">
        <v>975</v>
      </c>
      <c r="I75" s="15" t="s">
        <v>31</v>
      </c>
      <c r="J75" s="16" t="s">
        <v>976</v>
      </c>
      <c r="K75" s="17" t="s">
        <v>34</v>
      </c>
      <c r="L75" s="18"/>
      <c r="M75" s="18"/>
      <c r="N75" s="18"/>
      <c r="O75" s="18"/>
    </row>
    <row r="76" customFormat="false" ht="15" hidden="false" customHeight="false" outlineLevel="0" collapsed="false">
      <c r="A76" s="15" t="s">
        <v>977</v>
      </c>
      <c r="B76" s="15" t="s">
        <v>972</v>
      </c>
      <c r="C76" s="16" t="s">
        <v>973</v>
      </c>
      <c r="D76" s="16" t="s">
        <v>42</v>
      </c>
      <c r="E76" s="16" t="s">
        <v>974</v>
      </c>
      <c r="F76" s="15" t="s">
        <v>27</v>
      </c>
      <c r="G76" s="16" t="s">
        <v>978</v>
      </c>
      <c r="H76" s="16" t="s">
        <v>979</v>
      </c>
      <c r="I76" s="15" t="s">
        <v>31</v>
      </c>
      <c r="J76" s="16" t="s">
        <v>976</v>
      </c>
      <c r="K76" s="17" t="s">
        <v>34</v>
      </c>
      <c r="L76" s="18"/>
      <c r="M76" s="18"/>
      <c r="N76" s="18"/>
      <c r="O76" s="18"/>
    </row>
    <row r="77" customFormat="false" ht="15" hidden="false" customHeight="false" outlineLevel="0" collapsed="false">
      <c r="A77" s="15" t="s">
        <v>980</v>
      </c>
      <c r="B77" s="15" t="s">
        <v>972</v>
      </c>
      <c r="C77" s="16" t="s">
        <v>973</v>
      </c>
      <c r="D77" s="16" t="s">
        <v>42</v>
      </c>
      <c r="E77" s="16" t="s">
        <v>974</v>
      </c>
      <c r="F77" s="15" t="s">
        <v>27</v>
      </c>
      <c r="G77" s="16" t="s">
        <v>981</v>
      </c>
      <c r="H77" s="16" t="s">
        <v>982</v>
      </c>
      <c r="I77" s="15" t="s">
        <v>31</v>
      </c>
      <c r="J77" s="16" t="s">
        <v>976</v>
      </c>
      <c r="K77" s="17" t="s">
        <v>34</v>
      </c>
      <c r="L77" s="18"/>
      <c r="M77" s="18"/>
      <c r="N77" s="18"/>
      <c r="O77" s="18"/>
    </row>
    <row r="78" customFormat="false" ht="15" hidden="false" customHeight="false" outlineLevel="0" collapsed="false">
      <c r="A78" s="15" t="s">
        <v>983</v>
      </c>
      <c r="B78" s="15" t="s">
        <v>972</v>
      </c>
      <c r="C78" s="16" t="s">
        <v>973</v>
      </c>
      <c r="D78" s="16" t="s">
        <v>42</v>
      </c>
      <c r="E78" s="16" t="s">
        <v>974</v>
      </c>
      <c r="F78" s="15" t="s">
        <v>29</v>
      </c>
      <c r="G78" s="16" t="s">
        <v>984</v>
      </c>
      <c r="H78" s="16" t="s">
        <v>985</v>
      </c>
      <c r="I78" s="15" t="s">
        <v>33</v>
      </c>
      <c r="J78" s="16" t="s">
        <v>976</v>
      </c>
      <c r="K78" s="17" t="s">
        <v>34</v>
      </c>
      <c r="L78" s="18"/>
      <c r="M78" s="18"/>
      <c r="N78" s="18"/>
      <c r="O78" s="18"/>
    </row>
    <row r="79" customFormat="false" ht="46.25" hidden="false" customHeight="false" outlineLevel="0" collapsed="false">
      <c r="A79" s="19" t="s">
        <v>986</v>
      </c>
      <c r="B79" s="19" t="s">
        <v>987</v>
      </c>
      <c r="C79" s="20" t="s">
        <v>988</v>
      </c>
      <c r="D79" s="20" t="s">
        <v>42</v>
      </c>
      <c r="E79" s="20" t="s">
        <v>989</v>
      </c>
      <c r="F79" s="19" t="s">
        <v>27</v>
      </c>
      <c r="G79" s="20" t="s">
        <v>990</v>
      </c>
      <c r="H79" s="20" t="s">
        <v>991</v>
      </c>
      <c r="I79" s="19" t="s">
        <v>31</v>
      </c>
      <c r="J79" s="20" t="s">
        <v>992</v>
      </c>
      <c r="K79" s="17" t="s">
        <v>34</v>
      </c>
      <c r="L79" s="18"/>
      <c r="M79" s="18"/>
      <c r="N79" s="18"/>
      <c r="O79" s="18"/>
    </row>
    <row r="80" customFormat="false" ht="46.25" hidden="false" customHeight="false" outlineLevel="0" collapsed="false">
      <c r="A80" s="19" t="s">
        <v>993</v>
      </c>
      <c r="B80" s="19" t="s">
        <v>987</v>
      </c>
      <c r="C80" s="20" t="s">
        <v>988</v>
      </c>
      <c r="D80" s="20" t="s">
        <v>42</v>
      </c>
      <c r="E80" s="20" t="s">
        <v>989</v>
      </c>
      <c r="F80" s="19" t="s">
        <v>27</v>
      </c>
      <c r="G80" s="20" t="s">
        <v>994</v>
      </c>
      <c r="H80" s="20" t="s">
        <v>995</v>
      </c>
      <c r="I80" s="19" t="s">
        <v>31</v>
      </c>
      <c r="J80" s="20" t="s">
        <v>992</v>
      </c>
      <c r="K80" s="17" t="s">
        <v>34</v>
      </c>
      <c r="L80" s="18"/>
      <c r="M80" s="18"/>
      <c r="N80" s="18"/>
      <c r="O80" s="18"/>
    </row>
    <row r="81" customFormat="false" ht="46.25" hidden="false" customHeight="false" outlineLevel="0" collapsed="false">
      <c r="A81" s="19" t="s">
        <v>996</v>
      </c>
      <c r="B81" s="19" t="s">
        <v>987</v>
      </c>
      <c r="C81" s="20" t="s">
        <v>988</v>
      </c>
      <c r="D81" s="20" t="s">
        <v>42</v>
      </c>
      <c r="E81" s="20" t="s">
        <v>989</v>
      </c>
      <c r="F81" s="19" t="s">
        <v>28</v>
      </c>
      <c r="G81" s="20" t="s">
        <v>997</v>
      </c>
      <c r="H81" s="20" t="s">
        <v>998</v>
      </c>
      <c r="I81" s="19" t="s">
        <v>32</v>
      </c>
      <c r="J81" s="20" t="s">
        <v>992</v>
      </c>
      <c r="K81" s="17" t="s">
        <v>34</v>
      </c>
      <c r="L81" s="18"/>
      <c r="M81" s="18"/>
      <c r="N81" s="18"/>
      <c r="O81" s="18"/>
    </row>
    <row r="82" customFormat="false" ht="46.25" hidden="false" customHeight="false" outlineLevel="0" collapsed="false">
      <c r="A82" s="19" t="s">
        <v>999</v>
      </c>
      <c r="B82" s="19" t="s">
        <v>987</v>
      </c>
      <c r="C82" s="20" t="s">
        <v>988</v>
      </c>
      <c r="D82" s="20" t="s">
        <v>42</v>
      </c>
      <c r="E82" s="20" t="s">
        <v>989</v>
      </c>
      <c r="F82" s="19" t="s">
        <v>29</v>
      </c>
      <c r="G82" s="20" t="s">
        <v>1000</v>
      </c>
      <c r="H82" s="20" t="s">
        <v>1001</v>
      </c>
      <c r="I82" s="19" t="s">
        <v>33</v>
      </c>
      <c r="J82" s="20" t="s">
        <v>992</v>
      </c>
      <c r="K82" s="17" t="s">
        <v>34</v>
      </c>
      <c r="L82" s="18"/>
      <c r="M82" s="18"/>
      <c r="N82" s="18"/>
      <c r="O82" s="18"/>
    </row>
    <row r="83" customFormat="false" ht="46.25" hidden="false" customHeight="false" outlineLevel="0" collapsed="false">
      <c r="A83" s="19" t="s">
        <v>1002</v>
      </c>
      <c r="B83" s="19" t="s">
        <v>987</v>
      </c>
      <c r="C83" s="20" t="s">
        <v>988</v>
      </c>
      <c r="D83" s="20" t="s">
        <v>42</v>
      </c>
      <c r="E83" s="20" t="s">
        <v>989</v>
      </c>
      <c r="F83" s="19" t="s">
        <v>29</v>
      </c>
      <c r="G83" s="20" t="s">
        <v>1003</v>
      </c>
      <c r="H83" s="20" t="s">
        <v>1004</v>
      </c>
      <c r="I83" s="19" t="s">
        <v>33</v>
      </c>
      <c r="J83" s="20" t="s">
        <v>992</v>
      </c>
      <c r="K83" s="17" t="s">
        <v>34</v>
      </c>
      <c r="L83" s="18"/>
      <c r="M83" s="18"/>
      <c r="N83" s="18"/>
      <c r="O83" s="18"/>
    </row>
    <row r="84" customFormat="false" ht="46.25" hidden="false" customHeight="false" outlineLevel="0" collapsed="false">
      <c r="A84" s="19" t="s">
        <v>1005</v>
      </c>
      <c r="B84" s="19" t="s">
        <v>987</v>
      </c>
      <c r="C84" s="20" t="s">
        <v>988</v>
      </c>
      <c r="D84" s="20" t="s">
        <v>42</v>
      </c>
      <c r="E84" s="20" t="s">
        <v>989</v>
      </c>
      <c r="F84" s="19" t="s">
        <v>28</v>
      </c>
      <c r="G84" s="20" t="s">
        <v>1006</v>
      </c>
      <c r="H84" s="20" t="s">
        <v>1007</v>
      </c>
      <c r="I84" s="19" t="s">
        <v>32</v>
      </c>
      <c r="J84" s="20" t="s">
        <v>992</v>
      </c>
      <c r="K84" s="17" t="s">
        <v>34</v>
      </c>
      <c r="L84" s="18"/>
      <c r="M84" s="18"/>
      <c r="N84" s="18"/>
      <c r="O84" s="18"/>
    </row>
    <row r="85" customFormat="false" ht="46.25" hidden="false" customHeight="false" outlineLevel="0" collapsed="false">
      <c r="A85" s="19" t="s">
        <v>1008</v>
      </c>
      <c r="B85" s="19" t="s">
        <v>987</v>
      </c>
      <c r="C85" s="20" t="s">
        <v>988</v>
      </c>
      <c r="D85" s="20" t="s">
        <v>42</v>
      </c>
      <c r="E85" s="20" t="s">
        <v>989</v>
      </c>
      <c r="F85" s="19" t="s">
        <v>29</v>
      </c>
      <c r="G85" s="20" t="s">
        <v>1009</v>
      </c>
      <c r="H85" s="20" t="s">
        <v>1010</v>
      </c>
      <c r="I85" s="19" t="s">
        <v>32</v>
      </c>
      <c r="J85" s="20" t="s">
        <v>992</v>
      </c>
      <c r="K85" s="17" t="s">
        <v>34</v>
      </c>
      <c r="L85" s="18"/>
      <c r="M85" s="18"/>
      <c r="N85" s="18"/>
      <c r="O85" s="18"/>
    </row>
    <row r="86" customFormat="false" ht="46.25" hidden="false" customHeight="false" outlineLevel="0" collapsed="false">
      <c r="A86" s="19" t="s">
        <v>1011</v>
      </c>
      <c r="B86" s="19" t="s">
        <v>987</v>
      </c>
      <c r="C86" s="20" t="s">
        <v>988</v>
      </c>
      <c r="D86" s="20" t="s">
        <v>42</v>
      </c>
      <c r="E86" s="20" t="s">
        <v>989</v>
      </c>
      <c r="F86" s="19" t="s">
        <v>30</v>
      </c>
      <c r="G86" s="20" t="s">
        <v>1012</v>
      </c>
      <c r="H86" s="20" t="s">
        <v>247</v>
      </c>
      <c r="I86" s="19" t="s">
        <v>31</v>
      </c>
      <c r="J86" s="20" t="s">
        <v>992</v>
      </c>
      <c r="K86" s="17" t="s">
        <v>34</v>
      </c>
      <c r="L86" s="18"/>
      <c r="M86" s="18"/>
      <c r="N86" s="18"/>
      <c r="O86" s="18"/>
    </row>
    <row r="87" customFormat="false" ht="46.25" hidden="false" customHeight="false" outlineLevel="0" collapsed="false">
      <c r="A87" s="19" t="s">
        <v>1013</v>
      </c>
      <c r="B87" s="19" t="s">
        <v>987</v>
      </c>
      <c r="C87" s="20" t="s">
        <v>988</v>
      </c>
      <c r="D87" s="20" t="s">
        <v>42</v>
      </c>
      <c r="E87" s="20" t="s">
        <v>989</v>
      </c>
      <c r="F87" s="19" t="s">
        <v>30</v>
      </c>
      <c r="G87" s="20" t="s">
        <v>1014</v>
      </c>
      <c r="H87" s="20" t="s">
        <v>1015</v>
      </c>
      <c r="I87" s="19" t="s">
        <v>31</v>
      </c>
      <c r="J87" s="20" t="s">
        <v>992</v>
      </c>
      <c r="K87" s="17" t="s">
        <v>34</v>
      </c>
      <c r="L87" s="18"/>
      <c r="M87" s="18"/>
      <c r="N87" s="18"/>
      <c r="O87" s="18"/>
    </row>
    <row r="88" customFormat="false" ht="35.05" hidden="false" customHeight="false" outlineLevel="0" collapsed="false">
      <c r="A88" s="15" t="s">
        <v>1016</v>
      </c>
      <c r="B88" s="15" t="s">
        <v>1017</v>
      </c>
      <c r="C88" s="16" t="s">
        <v>1018</v>
      </c>
      <c r="D88" s="16" t="s">
        <v>1019</v>
      </c>
      <c r="E88" s="16" t="s">
        <v>1020</v>
      </c>
      <c r="F88" s="15" t="s">
        <v>27</v>
      </c>
      <c r="G88" s="16" t="s">
        <v>1021</v>
      </c>
      <c r="H88" s="16" t="s">
        <v>1022</v>
      </c>
      <c r="I88" s="15" t="s">
        <v>31</v>
      </c>
      <c r="J88" s="16" t="s">
        <v>1023</v>
      </c>
      <c r="K88" s="17" t="s">
        <v>34</v>
      </c>
      <c r="L88" s="18"/>
      <c r="M88" s="18"/>
      <c r="N88" s="18"/>
      <c r="O88" s="18"/>
    </row>
    <row r="89" customFormat="false" ht="35.05" hidden="false" customHeight="false" outlineLevel="0" collapsed="false">
      <c r="A89" s="15" t="s">
        <v>1024</v>
      </c>
      <c r="B89" s="15" t="s">
        <v>1017</v>
      </c>
      <c r="C89" s="16" t="s">
        <v>1018</v>
      </c>
      <c r="D89" s="16" t="s">
        <v>1019</v>
      </c>
      <c r="E89" s="16" t="s">
        <v>1020</v>
      </c>
      <c r="F89" s="15" t="s">
        <v>27</v>
      </c>
      <c r="G89" s="16" t="s">
        <v>1025</v>
      </c>
      <c r="H89" s="16" t="s">
        <v>1026</v>
      </c>
      <c r="I89" s="15" t="s">
        <v>31</v>
      </c>
      <c r="J89" s="16" t="s">
        <v>1023</v>
      </c>
      <c r="K89" s="17" t="s">
        <v>34</v>
      </c>
      <c r="L89" s="18"/>
      <c r="M89" s="18"/>
      <c r="N89" s="18"/>
      <c r="O89" s="18"/>
    </row>
    <row r="90" customFormat="false" ht="35.05" hidden="false" customHeight="false" outlineLevel="0" collapsed="false">
      <c r="A90" s="15" t="s">
        <v>1027</v>
      </c>
      <c r="B90" s="15" t="s">
        <v>1017</v>
      </c>
      <c r="C90" s="16" t="s">
        <v>1018</v>
      </c>
      <c r="D90" s="16" t="s">
        <v>1019</v>
      </c>
      <c r="E90" s="16" t="s">
        <v>1020</v>
      </c>
      <c r="F90" s="15" t="s">
        <v>29</v>
      </c>
      <c r="G90" s="16" t="s">
        <v>1028</v>
      </c>
      <c r="H90" s="16" t="s">
        <v>1029</v>
      </c>
      <c r="I90" s="15" t="s">
        <v>33</v>
      </c>
      <c r="J90" s="16" t="s">
        <v>1023</v>
      </c>
      <c r="K90" s="17" t="s">
        <v>34</v>
      </c>
      <c r="L90" s="18"/>
      <c r="M90" s="18"/>
      <c r="N90" s="18"/>
      <c r="O90" s="18"/>
    </row>
    <row r="91" customFormat="false" ht="35.05" hidden="false" customHeight="false" outlineLevel="0" collapsed="false">
      <c r="A91" s="15" t="s">
        <v>1030</v>
      </c>
      <c r="B91" s="15" t="s">
        <v>1017</v>
      </c>
      <c r="C91" s="16" t="s">
        <v>1018</v>
      </c>
      <c r="D91" s="16" t="s">
        <v>1019</v>
      </c>
      <c r="E91" s="16" t="s">
        <v>1020</v>
      </c>
      <c r="F91" s="15" t="s">
        <v>29</v>
      </c>
      <c r="G91" s="16" t="s">
        <v>1031</v>
      </c>
      <c r="H91" s="16" t="s">
        <v>1032</v>
      </c>
      <c r="I91" s="15" t="s">
        <v>33</v>
      </c>
      <c r="J91" s="16" t="s">
        <v>1023</v>
      </c>
      <c r="K91" s="17" t="s">
        <v>34</v>
      </c>
      <c r="L91" s="18"/>
      <c r="M91" s="18"/>
      <c r="N91" s="18"/>
      <c r="O91" s="18"/>
    </row>
    <row r="92" customFormat="false" ht="35.05" hidden="false" customHeight="false" outlineLevel="0" collapsed="false">
      <c r="A92" s="15" t="s">
        <v>1033</v>
      </c>
      <c r="B92" s="15" t="s">
        <v>1017</v>
      </c>
      <c r="C92" s="16" t="s">
        <v>1018</v>
      </c>
      <c r="D92" s="16" t="s">
        <v>1019</v>
      </c>
      <c r="E92" s="16" t="s">
        <v>1020</v>
      </c>
      <c r="F92" s="15" t="s">
        <v>28</v>
      </c>
      <c r="G92" s="16" t="s">
        <v>1034</v>
      </c>
      <c r="H92" s="16" t="s">
        <v>1035</v>
      </c>
      <c r="I92" s="15" t="s">
        <v>32</v>
      </c>
      <c r="J92" s="16" t="s">
        <v>1023</v>
      </c>
      <c r="K92" s="17" t="s">
        <v>34</v>
      </c>
      <c r="L92" s="18"/>
      <c r="M92" s="18"/>
      <c r="N92" s="18"/>
      <c r="O92" s="18"/>
    </row>
    <row r="93" customFormat="false" ht="35.05" hidden="false" customHeight="false" outlineLevel="0" collapsed="false">
      <c r="A93" s="15" t="s">
        <v>1036</v>
      </c>
      <c r="B93" s="15" t="s">
        <v>1017</v>
      </c>
      <c r="C93" s="16" t="s">
        <v>1018</v>
      </c>
      <c r="D93" s="16" t="s">
        <v>1019</v>
      </c>
      <c r="E93" s="16" t="s">
        <v>1020</v>
      </c>
      <c r="F93" s="15" t="s">
        <v>29</v>
      </c>
      <c r="G93" s="16" t="s">
        <v>1037</v>
      </c>
      <c r="H93" s="16" t="s">
        <v>1038</v>
      </c>
      <c r="I93" s="15" t="s">
        <v>31</v>
      </c>
      <c r="J93" s="16" t="s">
        <v>1023</v>
      </c>
      <c r="K93" s="17" t="s">
        <v>34</v>
      </c>
      <c r="L93" s="18"/>
      <c r="M93" s="18"/>
      <c r="N93" s="18"/>
      <c r="O93" s="18"/>
    </row>
    <row r="94" customFormat="false" ht="35.05" hidden="false" customHeight="false" outlineLevel="0" collapsed="false">
      <c r="A94" s="15" t="s">
        <v>1039</v>
      </c>
      <c r="B94" s="15" t="s">
        <v>1017</v>
      </c>
      <c r="C94" s="16" t="s">
        <v>1018</v>
      </c>
      <c r="D94" s="16" t="s">
        <v>1019</v>
      </c>
      <c r="E94" s="16" t="s">
        <v>1020</v>
      </c>
      <c r="F94" s="15" t="s">
        <v>29</v>
      </c>
      <c r="G94" s="16" t="s">
        <v>1040</v>
      </c>
      <c r="H94" s="16" t="s">
        <v>1041</v>
      </c>
      <c r="I94" s="15" t="s">
        <v>33</v>
      </c>
      <c r="J94" s="16" t="s">
        <v>1023</v>
      </c>
      <c r="K94" s="17" t="s">
        <v>34</v>
      </c>
      <c r="L94" s="18"/>
      <c r="M94" s="18"/>
      <c r="N94" s="18"/>
      <c r="O94" s="18"/>
    </row>
    <row r="95" customFormat="false" ht="23.85" hidden="false" customHeight="false" outlineLevel="0" collapsed="false">
      <c r="A95" s="19" t="s">
        <v>1042</v>
      </c>
      <c r="B95" s="19" t="s">
        <v>1043</v>
      </c>
      <c r="C95" s="20" t="s">
        <v>1044</v>
      </c>
      <c r="D95" s="20" t="s">
        <v>42</v>
      </c>
      <c r="E95" s="20" t="s">
        <v>1045</v>
      </c>
      <c r="F95" s="19" t="s">
        <v>27</v>
      </c>
      <c r="G95" s="20" t="s">
        <v>1046</v>
      </c>
      <c r="H95" s="20" t="s">
        <v>1047</v>
      </c>
      <c r="I95" s="19" t="s">
        <v>31</v>
      </c>
      <c r="J95" s="20" t="s">
        <v>1048</v>
      </c>
      <c r="K95" s="17" t="s">
        <v>34</v>
      </c>
      <c r="L95" s="18"/>
      <c r="M95" s="18"/>
      <c r="N95" s="18"/>
      <c r="O95" s="18"/>
    </row>
    <row r="96" customFormat="false" ht="23.85" hidden="false" customHeight="false" outlineLevel="0" collapsed="false">
      <c r="A96" s="19" t="s">
        <v>1049</v>
      </c>
      <c r="B96" s="19" t="s">
        <v>1043</v>
      </c>
      <c r="C96" s="20" t="s">
        <v>1044</v>
      </c>
      <c r="D96" s="20" t="s">
        <v>42</v>
      </c>
      <c r="E96" s="20" t="s">
        <v>1045</v>
      </c>
      <c r="F96" s="19" t="s">
        <v>27</v>
      </c>
      <c r="G96" s="20" t="s">
        <v>1050</v>
      </c>
      <c r="H96" s="20" t="s">
        <v>1051</v>
      </c>
      <c r="I96" s="19" t="s">
        <v>31</v>
      </c>
      <c r="J96" s="20" t="s">
        <v>1048</v>
      </c>
      <c r="K96" s="17" t="s">
        <v>34</v>
      </c>
      <c r="L96" s="18"/>
      <c r="M96" s="18"/>
      <c r="N96" s="18"/>
      <c r="O96" s="18"/>
    </row>
    <row r="97" customFormat="false" ht="23.85" hidden="false" customHeight="false" outlineLevel="0" collapsed="false">
      <c r="A97" s="19" t="s">
        <v>1052</v>
      </c>
      <c r="B97" s="19" t="s">
        <v>1043</v>
      </c>
      <c r="C97" s="20" t="s">
        <v>1044</v>
      </c>
      <c r="D97" s="20" t="s">
        <v>42</v>
      </c>
      <c r="E97" s="20" t="s">
        <v>1045</v>
      </c>
      <c r="F97" s="19" t="s">
        <v>27</v>
      </c>
      <c r="G97" s="20" t="s">
        <v>1053</v>
      </c>
      <c r="H97" s="20" t="s">
        <v>1054</v>
      </c>
      <c r="I97" s="19" t="s">
        <v>31</v>
      </c>
      <c r="J97" s="20" t="s">
        <v>1048</v>
      </c>
      <c r="K97" s="17" t="s">
        <v>34</v>
      </c>
      <c r="L97" s="18"/>
      <c r="M97" s="18"/>
      <c r="N97" s="18"/>
      <c r="O97" s="18"/>
    </row>
    <row r="98" customFormat="false" ht="23.85" hidden="false" customHeight="false" outlineLevel="0" collapsed="false">
      <c r="A98" s="19" t="s">
        <v>1055</v>
      </c>
      <c r="B98" s="19" t="s">
        <v>1043</v>
      </c>
      <c r="C98" s="20" t="s">
        <v>1044</v>
      </c>
      <c r="D98" s="20" t="s">
        <v>42</v>
      </c>
      <c r="E98" s="20" t="s">
        <v>1045</v>
      </c>
      <c r="F98" s="19" t="s">
        <v>29</v>
      </c>
      <c r="G98" s="20" t="s">
        <v>1056</v>
      </c>
      <c r="H98" s="20" t="s">
        <v>1057</v>
      </c>
      <c r="I98" s="19" t="s">
        <v>33</v>
      </c>
      <c r="J98" s="20" t="s">
        <v>1048</v>
      </c>
      <c r="K98" s="17" t="s">
        <v>34</v>
      </c>
      <c r="L98" s="18"/>
      <c r="M98" s="18"/>
      <c r="N98" s="18"/>
      <c r="O98" s="18"/>
    </row>
    <row r="99" customFormat="false" ht="23.85" hidden="false" customHeight="false" outlineLevel="0" collapsed="false">
      <c r="A99" s="19" t="s">
        <v>1058</v>
      </c>
      <c r="B99" s="19" t="s">
        <v>1043</v>
      </c>
      <c r="C99" s="20" t="s">
        <v>1044</v>
      </c>
      <c r="D99" s="20" t="s">
        <v>42</v>
      </c>
      <c r="E99" s="20" t="s">
        <v>1045</v>
      </c>
      <c r="F99" s="19" t="s">
        <v>28</v>
      </c>
      <c r="G99" s="20" t="s">
        <v>1059</v>
      </c>
      <c r="H99" s="20" t="s">
        <v>1060</v>
      </c>
      <c r="I99" s="19" t="s">
        <v>32</v>
      </c>
      <c r="J99" s="20" t="s">
        <v>1048</v>
      </c>
      <c r="K99" s="17" t="s">
        <v>34</v>
      </c>
      <c r="L99" s="18"/>
      <c r="M99" s="18"/>
      <c r="N99" s="18"/>
      <c r="O99" s="18"/>
    </row>
    <row r="100" customFormat="false" ht="23.85" hidden="false" customHeight="false" outlineLevel="0" collapsed="false">
      <c r="A100" s="19" t="s">
        <v>1061</v>
      </c>
      <c r="B100" s="19" t="s">
        <v>1043</v>
      </c>
      <c r="C100" s="20" t="s">
        <v>1044</v>
      </c>
      <c r="D100" s="20" t="s">
        <v>42</v>
      </c>
      <c r="E100" s="20" t="s">
        <v>1045</v>
      </c>
      <c r="F100" s="19" t="s">
        <v>28</v>
      </c>
      <c r="G100" s="20" t="s">
        <v>1062</v>
      </c>
      <c r="H100" s="20" t="s">
        <v>1063</v>
      </c>
      <c r="I100" s="19" t="s">
        <v>32</v>
      </c>
      <c r="J100" s="20" t="s">
        <v>1048</v>
      </c>
      <c r="K100" s="17" t="s">
        <v>34</v>
      </c>
      <c r="L100" s="18"/>
      <c r="M100" s="18"/>
      <c r="N100" s="18"/>
      <c r="O100" s="18"/>
    </row>
    <row r="101" customFormat="false" ht="23.85" hidden="false" customHeight="false" outlineLevel="0" collapsed="false">
      <c r="A101" s="19" t="s">
        <v>1064</v>
      </c>
      <c r="B101" s="19" t="s">
        <v>1043</v>
      </c>
      <c r="C101" s="20" t="s">
        <v>1044</v>
      </c>
      <c r="D101" s="20" t="s">
        <v>42</v>
      </c>
      <c r="E101" s="20" t="s">
        <v>1045</v>
      </c>
      <c r="F101" s="19" t="s">
        <v>29</v>
      </c>
      <c r="G101" s="20" t="s">
        <v>1065</v>
      </c>
      <c r="H101" s="20" t="s">
        <v>1066</v>
      </c>
      <c r="I101" s="19" t="s">
        <v>33</v>
      </c>
      <c r="J101" s="20" t="s">
        <v>1048</v>
      </c>
      <c r="K101" s="17" t="s">
        <v>34</v>
      </c>
      <c r="L101" s="18"/>
      <c r="M101" s="18"/>
      <c r="N101" s="18"/>
      <c r="O101" s="18"/>
    </row>
    <row r="102" customFormat="false" ht="35.05" hidden="false" customHeight="false" outlineLevel="0" collapsed="false">
      <c r="A102" s="15" t="s">
        <v>1067</v>
      </c>
      <c r="B102" s="15" t="s">
        <v>1068</v>
      </c>
      <c r="C102" s="16" t="s">
        <v>1069</v>
      </c>
      <c r="D102" s="16" t="s">
        <v>1019</v>
      </c>
      <c r="E102" s="16" t="s">
        <v>1070</v>
      </c>
      <c r="F102" s="15" t="s">
        <v>27</v>
      </c>
      <c r="G102" s="16" t="s">
        <v>1071</v>
      </c>
      <c r="H102" s="16" t="s">
        <v>1072</v>
      </c>
      <c r="I102" s="15" t="s">
        <v>31</v>
      </c>
      <c r="J102" s="16" t="s">
        <v>1073</v>
      </c>
      <c r="K102" s="17" t="s">
        <v>34</v>
      </c>
      <c r="L102" s="18"/>
      <c r="M102" s="18"/>
      <c r="N102" s="18"/>
      <c r="O102" s="18"/>
    </row>
    <row r="103" customFormat="false" ht="35.05" hidden="false" customHeight="false" outlineLevel="0" collapsed="false">
      <c r="A103" s="15" t="s">
        <v>1074</v>
      </c>
      <c r="B103" s="15" t="s">
        <v>1068</v>
      </c>
      <c r="C103" s="16" t="s">
        <v>1069</v>
      </c>
      <c r="D103" s="16" t="s">
        <v>1019</v>
      </c>
      <c r="E103" s="16" t="s">
        <v>1070</v>
      </c>
      <c r="F103" s="15" t="s">
        <v>28</v>
      </c>
      <c r="G103" s="16" t="s">
        <v>1075</v>
      </c>
      <c r="H103" s="16" t="s">
        <v>1076</v>
      </c>
      <c r="I103" s="15" t="s">
        <v>32</v>
      </c>
      <c r="J103" s="16" t="s">
        <v>1073</v>
      </c>
      <c r="K103" s="17" t="s">
        <v>34</v>
      </c>
      <c r="L103" s="18"/>
      <c r="M103" s="18"/>
      <c r="N103" s="18"/>
      <c r="O103" s="18"/>
    </row>
    <row r="104" customFormat="false" ht="35.05" hidden="false" customHeight="false" outlineLevel="0" collapsed="false">
      <c r="A104" s="15" t="s">
        <v>1077</v>
      </c>
      <c r="B104" s="15" t="s">
        <v>1068</v>
      </c>
      <c r="C104" s="16" t="s">
        <v>1069</v>
      </c>
      <c r="D104" s="16" t="s">
        <v>1019</v>
      </c>
      <c r="E104" s="16" t="s">
        <v>1070</v>
      </c>
      <c r="F104" s="15" t="s">
        <v>30</v>
      </c>
      <c r="G104" s="16" t="s">
        <v>1078</v>
      </c>
      <c r="H104" s="16" t="s">
        <v>1079</v>
      </c>
      <c r="I104" s="15" t="s">
        <v>31</v>
      </c>
      <c r="J104" s="16" t="s">
        <v>1073</v>
      </c>
      <c r="K104" s="17" t="s">
        <v>34</v>
      </c>
      <c r="L104" s="18"/>
      <c r="M104" s="18"/>
      <c r="N104" s="18"/>
      <c r="O104" s="18"/>
    </row>
    <row r="105" customFormat="false" ht="35.05" hidden="false" customHeight="false" outlineLevel="0" collapsed="false">
      <c r="A105" s="15" t="s">
        <v>1080</v>
      </c>
      <c r="B105" s="15" t="s">
        <v>1068</v>
      </c>
      <c r="C105" s="16" t="s">
        <v>1069</v>
      </c>
      <c r="D105" s="16" t="s">
        <v>1019</v>
      </c>
      <c r="E105" s="16" t="s">
        <v>1070</v>
      </c>
      <c r="F105" s="15" t="s">
        <v>30</v>
      </c>
      <c r="G105" s="16" t="s">
        <v>1081</v>
      </c>
      <c r="H105" s="16" t="s">
        <v>247</v>
      </c>
      <c r="I105" s="15" t="s">
        <v>31</v>
      </c>
      <c r="J105" s="16" t="s">
        <v>1073</v>
      </c>
      <c r="K105" s="17" t="s">
        <v>34</v>
      </c>
      <c r="L105" s="18"/>
      <c r="M105" s="18"/>
      <c r="N105" s="18"/>
      <c r="O105" s="18"/>
    </row>
    <row r="106" customFormat="false" ht="35.05" hidden="false" customHeight="false" outlineLevel="0" collapsed="false">
      <c r="A106" s="15" t="s">
        <v>1082</v>
      </c>
      <c r="B106" s="15" t="s">
        <v>1068</v>
      </c>
      <c r="C106" s="16" t="s">
        <v>1069</v>
      </c>
      <c r="D106" s="16" t="s">
        <v>1019</v>
      </c>
      <c r="E106" s="16" t="s">
        <v>1070</v>
      </c>
      <c r="F106" s="15" t="s">
        <v>30</v>
      </c>
      <c r="G106" s="16" t="s">
        <v>482</v>
      </c>
      <c r="H106" s="16" t="s">
        <v>399</v>
      </c>
      <c r="I106" s="15" t="s">
        <v>31</v>
      </c>
      <c r="J106" s="16" t="s">
        <v>1073</v>
      </c>
      <c r="K106" s="17" t="s">
        <v>34</v>
      </c>
      <c r="L106" s="18"/>
      <c r="M106" s="18"/>
      <c r="N106" s="18"/>
      <c r="O106" s="18"/>
    </row>
    <row r="107" customFormat="false" ht="23.85" hidden="false" customHeight="false" outlineLevel="0" collapsed="false">
      <c r="A107" s="19" t="s">
        <v>1083</v>
      </c>
      <c r="B107" s="19" t="s">
        <v>1084</v>
      </c>
      <c r="C107" s="20" t="s">
        <v>1085</v>
      </c>
      <c r="D107" s="20" t="s">
        <v>42</v>
      </c>
      <c r="E107" s="20" t="s">
        <v>1086</v>
      </c>
      <c r="F107" s="19" t="s">
        <v>27</v>
      </c>
      <c r="G107" s="20" t="s">
        <v>1087</v>
      </c>
      <c r="H107" s="20" t="s">
        <v>1088</v>
      </c>
      <c r="I107" s="19" t="s">
        <v>31</v>
      </c>
      <c r="J107" s="20" t="s">
        <v>1089</v>
      </c>
      <c r="K107" s="17" t="s">
        <v>34</v>
      </c>
      <c r="L107" s="18"/>
      <c r="M107" s="18"/>
      <c r="N107" s="18"/>
      <c r="O107" s="18"/>
    </row>
    <row r="108" customFormat="false" ht="23.85" hidden="false" customHeight="false" outlineLevel="0" collapsed="false">
      <c r="A108" s="19" t="s">
        <v>1090</v>
      </c>
      <c r="B108" s="19" t="s">
        <v>1084</v>
      </c>
      <c r="C108" s="20" t="s">
        <v>1085</v>
      </c>
      <c r="D108" s="20" t="s">
        <v>42</v>
      </c>
      <c r="E108" s="20" t="s">
        <v>1086</v>
      </c>
      <c r="F108" s="19" t="s">
        <v>27</v>
      </c>
      <c r="G108" s="20" t="s">
        <v>1091</v>
      </c>
      <c r="H108" s="20" t="s">
        <v>1092</v>
      </c>
      <c r="I108" s="19" t="s">
        <v>31</v>
      </c>
      <c r="J108" s="20" t="s">
        <v>1089</v>
      </c>
      <c r="K108" s="17" t="s">
        <v>34</v>
      </c>
      <c r="L108" s="18"/>
      <c r="M108" s="18"/>
      <c r="N108" s="18"/>
      <c r="O108" s="18"/>
    </row>
    <row r="109" customFormat="false" ht="23.85" hidden="false" customHeight="false" outlineLevel="0" collapsed="false">
      <c r="A109" s="19" t="s">
        <v>1093</v>
      </c>
      <c r="B109" s="19" t="s">
        <v>1084</v>
      </c>
      <c r="C109" s="20" t="s">
        <v>1085</v>
      </c>
      <c r="D109" s="20" t="s">
        <v>42</v>
      </c>
      <c r="E109" s="20" t="s">
        <v>1086</v>
      </c>
      <c r="F109" s="19" t="s">
        <v>29</v>
      </c>
      <c r="G109" s="20" t="s">
        <v>1094</v>
      </c>
      <c r="H109" s="20" t="s">
        <v>350</v>
      </c>
      <c r="I109" s="19" t="s">
        <v>33</v>
      </c>
      <c r="J109" s="20" t="s">
        <v>1089</v>
      </c>
      <c r="K109" s="17" t="s">
        <v>34</v>
      </c>
      <c r="L109" s="18"/>
      <c r="M109" s="18"/>
      <c r="N109" s="18"/>
      <c r="O109" s="18"/>
    </row>
    <row r="110" customFormat="false" ht="23.85" hidden="false" customHeight="false" outlineLevel="0" collapsed="false">
      <c r="A110" s="19" t="s">
        <v>1095</v>
      </c>
      <c r="B110" s="19" t="s">
        <v>1084</v>
      </c>
      <c r="C110" s="20" t="s">
        <v>1085</v>
      </c>
      <c r="D110" s="20" t="s">
        <v>42</v>
      </c>
      <c r="E110" s="20" t="s">
        <v>1086</v>
      </c>
      <c r="F110" s="19" t="s">
        <v>28</v>
      </c>
      <c r="G110" s="20" t="s">
        <v>357</v>
      </c>
      <c r="H110" s="20" t="s">
        <v>1096</v>
      </c>
      <c r="I110" s="19" t="s">
        <v>32</v>
      </c>
      <c r="J110" s="20" t="s">
        <v>1089</v>
      </c>
      <c r="K110" s="17" t="s">
        <v>34</v>
      </c>
      <c r="L110" s="18"/>
      <c r="M110" s="18"/>
      <c r="N110" s="18"/>
      <c r="O110" s="18"/>
    </row>
    <row r="111" customFormat="false" ht="23.85" hidden="false" customHeight="false" outlineLevel="0" collapsed="false">
      <c r="A111" s="19" t="s">
        <v>1097</v>
      </c>
      <c r="B111" s="19" t="s">
        <v>1084</v>
      </c>
      <c r="C111" s="20" t="s">
        <v>1085</v>
      </c>
      <c r="D111" s="20" t="s">
        <v>42</v>
      </c>
      <c r="E111" s="20" t="s">
        <v>1086</v>
      </c>
      <c r="F111" s="19" t="s">
        <v>28</v>
      </c>
      <c r="G111" s="20" t="s">
        <v>1098</v>
      </c>
      <c r="H111" s="20" t="s">
        <v>247</v>
      </c>
      <c r="I111" s="19" t="s">
        <v>32</v>
      </c>
      <c r="J111" s="20" t="s">
        <v>1089</v>
      </c>
      <c r="K111" s="17" t="s">
        <v>34</v>
      </c>
      <c r="L111" s="18"/>
      <c r="M111" s="18"/>
      <c r="N111" s="18"/>
      <c r="O111" s="18"/>
    </row>
  </sheetData>
  <autoFilter ref="A1:O111"/>
  <conditionalFormatting sqref="K2:K311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conditionalFormatting sqref="F2:F311">
    <cfRule type="cellIs" priority="6" operator="equal" aboveAverage="0" equalAverage="0" bottom="0" percent="0" rank="0" text="" dxfId="12">
      <formula>"Security"</formula>
    </cfRule>
    <cfRule type="cellIs" priority="7" operator="equal" aboveAverage="0" equalAverage="0" bottom="0" percent="0" rank="0" text="" dxfId="13">
      <formula>"Negative"</formula>
    </cfRule>
    <cfRule type="cellIs" priority="8" operator="equal" aboveAverage="0" equalAverage="0" bottom="0" percent="0" rank="0" text="" dxfId="14">
      <formula>"Happy"</formula>
    </cfRule>
  </conditionalFormatting>
  <dataValidations count="2">
    <dataValidation allowBlank="true" errorStyle="stop" operator="between" showDropDown="false" showErrorMessage="false" showInputMessage="false" sqref="K2:K311" type="list">
      <formula1>"Not Run,Pass,Fail,Blocked,N/A"</formula1>
      <formula2>0</formula2>
    </dataValidation>
    <dataValidation allowBlank="false" errorStyle="stop" operator="between" showDropDown="false" showErrorMessage="false" showInputMessage="false" sqref="I2:I311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57.45" hidden="false" customHeight="false" outlineLevel="0" collapsed="false">
      <c r="A2" s="15" t="s">
        <v>1099</v>
      </c>
      <c r="B2" s="15" t="s">
        <v>1100</v>
      </c>
      <c r="C2" s="16" t="s">
        <v>1101</v>
      </c>
      <c r="D2" s="16" t="s">
        <v>1102</v>
      </c>
      <c r="E2" s="16" t="s">
        <v>1103</v>
      </c>
      <c r="F2" s="15" t="s">
        <v>27</v>
      </c>
      <c r="G2" s="16" t="s">
        <v>1104</v>
      </c>
      <c r="H2" s="16" t="s">
        <v>1105</v>
      </c>
      <c r="I2" s="15" t="s">
        <v>31</v>
      </c>
      <c r="J2" s="16" t="s">
        <v>1106</v>
      </c>
      <c r="K2" s="17" t="s">
        <v>34</v>
      </c>
      <c r="L2" s="18"/>
      <c r="M2" s="18"/>
      <c r="N2" s="18"/>
      <c r="O2" s="18"/>
    </row>
    <row r="3" customFormat="false" ht="57.45" hidden="false" customHeight="false" outlineLevel="0" collapsed="false">
      <c r="A3" s="15" t="s">
        <v>1107</v>
      </c>
      <c r="B3" s="15" t="s">
        <v>1100</v>
      </c>
      <c r="C3" s="16" t="s">
        <v>1101</v>
      </c>
      <c r="D3" s="16" t="s">
        <v>1102</v>
      </c>
      <c r="E3" s="16" t="s">
        <v>1103</v>
      </c>
      <c r="F3" s="15" t="s">
        <v>28</v>
      </c>
      <c r="G3" s="16" t="s">
        <v>760</v>
      </c>
      <c r="H3" s="16" t="s">
        <v>1108</v>
      </c>
      <c r="I3" s="15" t="s">
        <v>32</v>
      </c>
      <c r="J3" s="16" t="s">
        <v>1106</v>
      </c>
      <c r="K3" s="17" t="s">
        <v>34</v>
      </c>
      <c r="L3" s="18"/>
      <c r="M3" s="18"/>
      <c r="N3" s="18"/>
      <c r="O3" s="18"/>
    </row>
    <row r="4" customFormat="false" ht="57.45" hidden="false" customHeight="false" outlineLevel="0" collapsed="false">
      <c r="A4" s="15" t="s">
        <v>1109</v>
      </c>
      <c r="B4" s="15" t="s">
        <v>1100</v>
      </c>
      <c r="C4" s="16" t="s">
        <v>1101</v>
      </c>
      <c r="D4" s="16" t="s">
        <v>1102</v>
      </c>
      <c r="E4" s="16" t="s">
        <v>1103</v>
      </c>
      <c r="F4" s="15" t="s">
        <v>28</v>
      </c>
      <c r="G4" s="16" t="s">
        <v>1110</v>
      </c>
      <c r="H4" s="16" t="s">
        <v>1111</v>
      </c>
      <c r="I4" s="15" t="s">
        <v>32</v>
      </c>
      <c r="J4" s="16" t="s">
        <v>1106</v>
      </c>
      <c r="K4" s="17" t="s">
        <v>34</v>
      </c>
      <c r="L4" s="18"/>
      <c r="M4" s="18"/>
      <c r="N4" s="18"/>
      <c r="O4" s="18"/>
    </row>
    <row r="5" customFormat="false" ht="57.45" hidden="false" customHeight="false" outlineLevel="0" collapsed="false">
      <c r="A5" s="15" t="s">
        <v>1112</v>
      </c>
      <c r="B5" s="15" t="s">
        <v>1100</v>
      </c>
      <c r="C5" s="16" t="s">
        <v>1101</v>
      </c>
      <c r="D5" s="16" t="s">
        <v>1102</v>
      </c>
      <c r="E5" s="16" t="s">
        <v>1103</v>
      </c>
      <c r="F5" s="15" t="s">
        <v>28</v>
      </c>
      <c r="G5" s="16" t="s">
        <v>1113</v>
      </c>
      <c r="H5" s="16" t="s">
        <v>1114</v>
      </c>
      <c r="I5" s="15" t="s">
        <v>32</v>
      </c>
      <c r="J5" s="16" t="s">
        <v>1106</v>
      </c>
      <c r="K5" s="17" t="s">
        <v>34</v>
      </c>
      <c r="L5" s="18"/>
      <c r="M5" s="18"/>
      <c r="N5" s="18"/>
      <c r="O5" s="18"/>
    </row>
    <row r="6" customFormat="false" ht="57.45" hidden="false" customHeight="false" outlineLevel="0" collapsed="false">
      <c r="A6" s="15" t="s">
        <v>1115</v>
      </c>
      <c r="B6" s="15" t="s">
        <v>1100</v>
      </c>
      <c r="C6" s="16" t="s">
        <v>1101</v>
      </c>
      <c r="D6" s="16" t="s">
        <v>1102</v>
      </c>
      <c r="E6" s="16" t="s">
        <v>1103</v>
      </c>
      <c r="F6" s="15" t="s">
        <v>28</v>
      </c>
      <c r="G6" s="16" t="s">
        <v>1116</v>
      </c>
      <c r="H6" s="16" t="s">
        <v>1117</v>
      </c>
      <c r="I6" s="15" t="s">
        <v>32</v>
      </c>
      <c r="J6" s="16" t="s">
        <v>1106</v>
      </c>
      <c r="K6" s="17" t="s">
        <v>34</v>
      </c>
      <c r="L6" s="18"/>
      <c r="M6" s="18"/>
      <c r="N6" s="18"/>
      <c r="O6" s="18"/>
    </row>
    <row r="7" customFormat="false" ht="57.45" hidden="false" customHeight="false" outlineLevel="0" collapsed="false">
      <c r="A7" s="15" t="s">
        <v>1118</v>
      </c>
      <c r="B7" s="15" t="s">
        <v>1100</v>
      </c>
      <c r="C7" s="16" t="s">
        <v>1101</v>
      </c>
      <c r="D7" s="16" t="s">
        <v>1102</v>
      </c>
      <c r="E7" s="16" t="s">
        <v>1103</v>
      </c>
      <c r="F7" s="15" t="s">
        <v>28</v>
      </c>
      <c r="G7" s="16" t="s">
        <v>1119</v>
      </c>
      <c r="H7" s="16" t="s">
        <v>1120</v>
      </c>
      <c r="I7" s="15" t="s">
        <v>32</v>
      </c>
      <c r="J7" s="16" t="s">
        <v>1106</v>
      </c>
      <c r="K7" s="17" t="s">
        <v>34</v>
      </c>
      <c r="L7" s="18"/>
      <c r="M7" s="18"/>
      <c r="N7" s="18"/>
      <c r="O7" s="18"/>
    </row>
    <row r="8" customFormat="false" ht="57.45" hidden="false" customHeight="false" outlineLevel="0" collapsed="false">
      <c r="A8" s="15" t="s">
        <v>1121</v>
      </c>
      <c r="B8" s="15" t="s">
        <v>1100</v>
      </c>
      <c r="C8" s="16" t="s">
        <v>1101</v>
      </c>
      <c r="D8" s="16" t="s">
        <v>1102</v>
      </c>
      <c r="E8" s="16" t="s">
        <v>1103</v>
      </c>
      <c r="F8" s="15" t="s">
        <v>28</v>
      </c>
      <c r="G8" s="16" t="s">
        <v>1122</v>
      </c>
      <c r="H8" s="16" t="s">
        <v>1123</v>
      </c>
      <c r="I8" s="15" t="s">
        <v>32</v>
      </c>
      <c r="J8" s="16" t="s">
        <v>1106</v>
      </c>
      <c r="K8" s="17" t="s">
        <v>34</v>
      </c>
      <c r="L8" s="18"/>
      <c r="M8" s="18"/>
      <c r="N8" s="18"/>
      <c r="O8" s="18"/>
    </row>
    <row r="9" customFormat="false" ht="57.45" hidden="false" customHeight="false" outlineLevel="0" collapsed="false">
      <c r="A9" s="15" t="s">
        <v>1124</v>
      </c>
      <c r="B9" s="15" t="s">
        <v>1100</v>
      </c>
      <c r="C9" s="16" t="s">
        <v>1101</v>
      </c>
      <c r="D9" s="16" t="s">
        <v>1102</v>
      </c>
      <c r="E9" s="16" t="s">
        <v>1103</v>
      </c>
      <c r="F9" s="15" t="s">
        <v>28</v>
      </c>
      <c r="G9" s="16" t="s">
        <v>1125</v>
      </c>
      <c r="H9" s="16" t="s">
        <v>1126</v>
      </c>
      <c r="I9" s="15" t="s">
        <v>32</v>
      </c>
      <c r="J9" s="16" t="s">
        <v>1106</v>
      </c>
      <c r="K9" s="17" t="s">
        <v>34</v>
      </c>
      <c r="L9" s="18"/>
      <c r="M9" s="18"/>
      <c r="N9" s="18"/>
      <c r="O9" s="18"/>
    </row>
    <row r="10" customFormat="false" ht="57.45" hidden="false" customHeight="false" outlineLevel="0" collapsed="false">
      <c r="A10" s="15" t="s">
        <v>1127</v>
      </c>
      <c r="B10" s="15" t="s">
        <v>1100</v>
      </c>
      <c r="C10" s="16" t="s">
        <v>1101</v>
      </c>
      <c r="D10" s="16" t="s">
        <v>1102</v>
      </c>
      <c r="E10" s="16" t="s">
        <v>1103</v>
      </c>
      <c r="F10" s="15" t="s">
        <v>29</v>
      </c>
      <c r="G10" s="16" t="s">
        <v>1128</v>
      </c>
      <c r="H10" s="16" t="s">
        <v>1129</v>
      </c>
      <c r="I10" s="15" t="s">
        <v>33</v>
      </c>
      <c r="J10" s="16" t="s">
        <v>1106</v>
      </c>
      <c r="K10" s="17" t="s">
        <v>34</v>
      </c>
      <c r="L10" s="18"/>
      <c r="M10" s="18"/>
      <c r="N10" s="18"/>
      <c r="O10" s="18"/>
    </row>
    <row r="11" customFormat="false" ht="57.45" hidden="false" customHeight="false" outlineLevel="0" collapsed="false">
      <c r="A11" s="15" t="s">
        <v>1130</v>
      </c>
      <c r="B11" s="15" t="s">
        <v>1100</v>
      </c>
      <c r="C11" s="16" t="s">
        <v>1101</v>
      </c>
      <c r="D11" s="16" t="s">
        <v>1102</v>
      </c>
      <c r="E11" s="16" t="s">
        <v>1103</v>
      </c>
      <c r="F11" s="15" t="s">
        <v>29</v>
      </c>
      <c r="G11" s="16" t="s">
        <v>1131</v>
      </c>
      <c r="H11" s="16" t="s">
        <v>1132</v>
      </c>
      <c r="I11" s="15" t="s">
        <v>33</v>
      </c>
      <c r="J11" s="16" t="s">
        <v>1106</v>
      </c>
      <c r="K11" s="17" t="s">
        <v>34</v>
      </c>
      <c r="L11" s="18"/>
      <c r="M11" s="18"/>
      <c r="N11" s="18"/>
      <c r="O11" s="18"/>
    </row>
    <row r="12" customFormat="false" ht="57.45" hidden="false" customHeight="false" outlineLevel="0" collapsed="false">
      <c r="A12" s="15" t="s">
        <v>1133</v>
      </c>
      <c r="B12" s="15" t="s">
        <v>1100</v>
      </c>
      <c r="C12" s="16" t="s">
        <v>1101</v>
      </c>
      <c r="D12" s="16" t="s">
        <v>1102</v>
      </c>
      <c r="E12" s="16" t="s">
        <v>1103</v>
      </c>
      <c r="F12" s="15" t="s">
        <v>29</v>
      </c>
      <c r="G12" s="16" t="s">
        <v>789</v>
      </c>
      <c r="H12" s="16" t="s">
        <v>1134</v>
      </c>
      <c r="I12" s="15" t="s">
        <v>33</v>
      </c>
      <c r="J12" s="16" t="s">
        <v>1106</v>
      </c>
      <c r="K12" s="17" t="s">
        <v>34</v>
      </c>
      <c r="L12" s="18"/>
      <c r="M12" s="18"/>
      <c r="N12" s="18"/>
      <c r="O12" s="18"/>
    </row>
    <row r="13" customFormat="false" ht="57.45" hidden="false" customHeight="false" outlineLevel="0" collapsed="false">
      <c r="A13" s="15" t="s">
        <v>1135</v>
      </c>
      <c r="B13" s="15" t="s">
        <v>1100</v>
      </c>
      <c r="C13" s="16" t="s">
        <v>1101</v>
      </c>
      <c r="D13" s="16" t="s">
        <v>1102</v>
      </c>
      <c r="E13" s="16" t="s">
        <v>1103</v>
      </c>
      <c r="F13" s="15" t="s">
        <v>28</v>
      </c>
      <c r="G13" s="16" t="s">
        <v>1136</v>
      </c>
      <c r="H13" s="16" t="s">
        <v>247</v>
      </c>
      <c r="I13" s="15" t="s">
        <v>32</v>
      </c>
      <c r="J13" s="16" t="s">
        <v>1106</v>
      </c>
      <c r="K13" s="17" t="s">
        <v>34</v>
      </c>
      <c r="L13" s="18"/>
      <c r="M13" s="18"/>
      <c r="N13" s="18"/>
      <c r="O13" s="18"/>
    </row>
    <row r="14" customFormat="false" ht="57.45" hidden="false" customHeight="false" outlineLevel="0" collapsed="false">
      <c r="A14" s="15" t="s">
        <v>1137</v>
      </c>
      <c r="B14" s="15" t="s">
        <v>1100</v>
      </c>
      <c r="C14" s="16" t="s">
        <v>1101</v>
      </c>
      <c r="D14" s="16" t="s">
        <v>1102</v>
      </c>
      <c r="E14" s="16" t="s">
        <v>1103</v>
      </c>
      <c r="F14" s="15" t="s">
        <v>29</v>
      </c>
      <c r="G14" s="16" t="s">
        <v>1138</v>
      </c>
      <c r="H14" s="16" t="s">
        <v>796</v>
      </c>
      <c r="I14" s="15" t="s">
        <v>32</v>
      </c>
      <c r="J14" s="16" t="s">
        <v>1106</v>
      </c>
      <c r="K14" s="17" t="s">
        <v>34</v>
      </c>
      <c r="L14" s="18"/>
      <c r="M14" s="18"/>
      <c r="N14" s="18"/>
      <c r="O14" s="18"/>
    </row>
    <row r="15" customFormat="false" ht="23.85" hidden="false" customHeight="false" outlineLevel="0" collapsed="false">
      <c r="A15" s="19" t="s">
        <v>1139</v>
      </c>
      <c r="B15" s="19" t="s">
        <v>1140</v>
      </c>
      <c r="C15" s="20" t="s">
        <v>1141</v>
      </c>
      <c r="D15" s="20" t="s">
        <v>1142</v>
      </c>
      <c r="E15" s="20" t="s">
        <v>801</v>
      </c>
      <c r="F15" s="19" t="s">
        <v>27</v>
      </c>
      <c r="G15" s="20" t="s">
        <v>1143</v>
      </c>
      <c r="H15" s="20" t="s">
        <v>1144</v>
      </c>
      <c r="I15" s="19" t="s">
        <v>31</v>
      </c>
      <c r="J15" s="20" t="s">
        <v>1145</v>
      </c>
      <c r="K15" s="17" t="s">
        <v>34</v>
      </c>
      <c r="L15" s="18"/>
      <c r="M15" s="18"/>
      <c r="N15" s="18"/>
      <c r="O15" s="18"/>
    </row>
    <row r="16" customFormat="false" ht="23.85" hidden="false" customHeight="false" outlineLevel="0" collapsed="false">
      <c r="A16" s="19" t="s">
        <v>1146</v>
      </c>
      <c r="B16" s="19" t="s">
        <v>1140</v>
      </c>
      <c r="C16" s="20" t="s">
        <v>1141</v>
      </c>
      <c r="D16" s="20" t="s">
        <v>1142</v>
      </c>
      <c r="E16" s="20" t="s">
        <v>801</v>
      </c>
      <c r="F16" s="19" t="s">
        <v>29</v>
      </c>
      <c r="G16" s="20" t="s">
        <v>1147</v>
      </c>
      <c r="H16" s="20" t="s">
        <v>1148</v>
      </c>
      <c r="I16" s="19" t="s">
        <v>33</v>
      </c>
      <c r="J16" s="20" t="s">
        <v>1145</v>
      </c>
      <c r="K16" s="17" t="s">
        <v>34</v>
      </c>
      <c r="L16" s="18"/>
      <c r="M16" s="18"/>
      <c r="N16" s="18"/>
      <c r="O16" s="18"/>
    </row>
    <row r="17" customFormat="false" ht="23.85" hidden="false" customHeight="false" outlineLevel="0" collapsed="false">
      <c r="A17" s="19" t="s">
        <v>1149</v>
      </c>
      <c r="B17" s="19" t="s">
        <v>1140</v>
      </c>
      <c r="C17" s="20" t="s">
        <v>1141</v>
      </c>
      <c r="D17" s="20" t="s">
        <v>1142</v>
      </c>
      <c r="E17" s="20" t="s">
        <v>801</v>
      </c>
      <c r="F17" s="19" t="s">
        <v>29</v>
      </c>
      <c r="G17" s="20" t="s">
        <v>1150</v>
      </c>
      <c r="H17" s="20" t="s">
        <v>1151</v>
      </c>
      <c r="I17" s="19" t="s">
        <v>33</v>
      </c>
      <c r="J17" s="20" t="s">
        <v>1145</v>
      </c>
      <c r="K17" s="17" t="s">
        <v>34</v>
      </c>
      <c r="L17" s="18"/>
      <c r="M17" s="18"/>
      <c r="N17" s="18"/>
      <c r="O17" s="18"/>
    </row>
    <row r="18" customFormat="false" ht="23.85" hidden="false" customHeight="false" outlineLevel="0" collapsed="false">
      <c r="A18" s="19" t="s">
        <v>1152</v>
      </c>
      <c r="B18" s="19" t="s">
        <v>1140</v>
      </c>
      <c r="C18" s="20" t="s">
        <v>1141</v>
      </c>
      <c r="D18" s="20" t="s">
        <v>1142</v>
      </c>
      <c r="E18" s="20" t="s">
        <v>801</v>
      </c>
      <c r="F18" s="19" t="s">
        <v>27</v>
      </c>
      <c r="G18" s="20" t="s">
        <v>1153</v>
      </c>
      <c r="H18" s="20" t="s">
        <v>1154</v>
      </c>
      <c r="I18" s="19" t="s">
        <v>32</v>
      </c>
      <c r="J18" s="20" t="s">
        <v>1145</v>
      </c>
      <c r="K18" s="17" t="s">
        <v>34</v>
      </c>
      <c r="L18" s="18"/>
      <c r="M18" s="18"/>
      <c r="N18" s="18"/>
      <c r="O18" s="18"/>
    </row>
    <row r="19" customFormat="false" ht="46.25" hidden="false" customHeight="false" outlineLevel="0" collapsed="false">
      <c r="A19" s="15" t="s">
        <v>1155</v>
      </c>
      <c r="B19" s="15" t="s">
        <v>1156</v>
      </c>
      <c r="C19" s="16" t="s">
        <v>1157</v>
      </c>
      <c r="D19" s="16" t="s">
        <v>1142</v>
      </c>
      <c r="E19" s="16" t="s">
        <v>1158</v>
      </c>
      <c r="F19" s="15" t="s">
        <v>28</v>
      </c>
      <c r="G19" s="16" t="s">
        <v>1159</v>
      </c>
      <c r="H19" s="16" t="s">
        <v>1160</v>
      </c>
      <c r="I19" s="15" t="s">
        <v>32</v>
      </c>
      <c r="J19" s="16" t="s">
        <v>1161</v>
      </c>
      <c r="K19" s="17" t="s">
        <v>34</v>
      </c>
      <c r="L19" s="18"/>
      <c r="M19" s="18"/>
      <c r="N19" s="18"/>
      <c r="O19" s="18"/>
    </row>
    <row r="20" customFormat="false" ht="46.25" hidden="false" customHeight="false" outlineLevel="0" collapsed="false">
      <c r="A20" s="15" t="s">
        <v>1162</v>
      </c>
      <c r="B20" s="15" t="s">
        <v>1156</v>
      </c>
      <c r="C20" s="16" t="s">
        <v>1157</v>
      </c>
      <c r="D20" s="16" t="s">
        <v>1142</v>
      </c>
      <c r="E20" s="16" t="s">
        <v>1158</v>
      </c>
      <c r="F20" s="15" t="s">
        <v>28</v>
      </c>
      <c r="G20" s="16" t="s">
        <v>1163</v>
      </c>
      <c r="H20" s="16" t="s">
        <v>1164</v>
      </c>
      <c r="I20" s="15" t="s">
        <v>32</v>
      </c>
      <c r="J20" s="16" t="s">
        <v>1161</v>
      </c>
      <c r="K20" s="17" t="s">
        <v>34</v>
      </c>
      <c r="L20" s="18"/>
      <c r="M20" s="18"/>
      <c r="N20" s="18"/>
      <c r="O20" s="18"/>
    </row>
    <row r="21" customFormat="false" ht="46.25" hidden="false" customHeight="false" outlineLevel="0" collapsed="false">
      <c r="A21" s="15" t="s">
        <v>1165</v>
      </c>
      <c r="B21" s="15" t="s">
        <v>1156</v>
      </c>
      <c r="C21" s="16" t="s">
        <v>1157</v>
      </c>
      <c r="D21" s="16" t="s">
        <v>1142</v>
      </c>
      <c r="E21" s="16" t="s">
        <v>1158</v>
      </c>
      <c r="F21" s="15" t="s">
        <v>30</v>
      </c>
      <c r="G21" s="16" t="s">
        <v>482</v>
      </c>
      <c r="H21" s="16" t="s">
        <v>1166</v>
      </c>
      <c r="I21" s="15" t="s">
        <v>31</v>
      </c>
      <c r="J21" s="16" t="s">
        <v>1161</v>
      </c>
      <c r="K21" s="17" t="s">
        <v>34</v>
      </c>
      <c r="L21" s="18"/>
      <c r="M21" s="18"/>
      <c r="N21" s="18"/>
      <c r="O21" s="18"/>
    </row>
    <row r="22" customFormat="false" ht="46.25" hidden="false" customHeight="false" outlineLevel="0" collapsed="false">
      <c r="A22" s="15" t="s">
        <v>1167</v>
      </c>
      <c r="B22" s="15" t="s">
        <v>1156</v>
      </c>
      <c r="C22" s="16" t="s">
        <v>1157</v>
      </c>
      <c r="D22" s="16" t="s">
        <v>1142</v>
      </c>
      <c r="E22" s="16" t="s">
        <v>1158</v>
      </c>
      <c r="F22" s="15" t="s">
        <v>28</v>
      </c>
      <c r="G22" s="16" t="s">
        <v>1168</v>
      </c>
      <c r="H22" s="16" t="s">
        <v>1169</v>
      </c>
      <c r="I22" s="15" t="s">
        <v>32</v>
      </c>
      <c r="J22" s="16" t="s">
        <v>1161</v>
      </c>
      <c r="K22" s="17" t="s">
        <v>34</v>
      </c>
      <c r="L22" s="18"/>
      <c r="M22" s="18"/>
      <c r="N22" s="18"/>
      <c r="O22" s="18"/>
    </row>
    <row r="23" customFormat="false" ht="46.25" hidden="false" customHeight="false" outlineLevel="0" collapsed="false">
      <c r="A23" s="15" t="s">
        <v>1170</v>
      </c>
      <c r="B23" s="15" t="s">
        <v>1156</v>
      </c>
      <c r="C23" s="16" t="s">
        <v>1157</v>
      </c>
      <c r="D23" s="16" t="s">
        <v>1142</v>
      </c>
      <c r="E23" s="16" t="s">
        <v>1158</v>
      </c>
      <c r="F23" s="15" t="s">
        <v>29</v>
      </c>
      <c r="G23" s="16" t="s">
        <v>1171</v>
      </c>
      <c r="H23" s="16" t="s">
        <v>1172</v>
      </c>
      <c r="I23" s="15" t="s">
        <v>33</v>
      </c>
      <c r="J23" s="16" t="s">
        <v>1161</v>
      </c>
      <c r="K23" s="17" t="s">
        <v>34</v>
      </c>
      <c r="L23" s="18"/>
      <c r="M23" s="18"/>
      <c r="N23" s="18"/>
      <c r="O23" s="18"/>
    </row>
    <row r="24" customFormat="false" ht="46.25" hidden="false" customHeight="false" outlineLevel="0" collapsed="false">
      <c r="A24" s="15" t="s">
        <v>1173</v>
      </c>
      <c r="B24" s="15" t="s">
        <v>1156</v>
      </c>
      <c r="C24" s="16" t="s">
        <v>1157</v>
      </c>
      <c r="D24" s="16" t="s">
        <v>1142</v>
      </c>
      <c r="E24" s="16" t="s">
        <v>1158</v>
      </c>
      <c r="F24" s="15" t="s">
        <v>30</v>
      </c>
      <c r="G24" s="16" t="s">
        <v>1174</v>
      </c>
      <c r="H24" s="16" t="s">
        <v>1175</v>
      </c>
      <c r="I24" s="15" t="s">
        <v>31</v>
      </c>
      <c r="J24" s="16" t="s">
        <v>1161</v>
      </c>
      <c r="K24" s="17" t="s">
        <v>34</v>
      </c>
      <c r="L24" s="18"/>
      <c r="M24" s="18"/>
      <c r="N24" s="18"/>
      <c r="O24" s="18"/>
    </row>
    <row r="25" customFormat="false" ht="23.85" hidden="false" customHeight="false" outlineLevel="0" collapsed="false">
      <c r="A25" s="19" t="s">
        <v>1176</v>
      </c>
      <c r="B25" s="19" t="s">
        <v>1177</v>
      </c>
      <c r="C25" s="20" t="s">
        <v>1178</v>
      </c>
      <c r="D25" s="20" t="s">
        <v>1179</v>
      </c>
      <c r="E25" s="20" t="s">
        <v>1180</v>
      </c>
      <c r="F25" s="19" t="s">
        <v>27</v>
      </c>
      <c r="G25" s="20" t="s">
        <v>1181</v>
      </c>
      <c r="H25" s="20" t="s">
        <v>1182</v>
      </c>
      <c r="I25" s="19" t="s">
        <v>31</v>
      </c>
      <c r="J25" s="20" t="s">
        <v>1183</v>
      </c>
      <c r="K25" s="17" t="s">
        <v>34</v>
      </c>
      <c r="L25" s="18"/>
      <c r="M25" s="18"/>
      <c r="N25" s="18"/>
      <c r="O25" s="18"/>
    </row>
    <row r="26" customFormat="false" ht="23.85" hidden="false" customHeight="false" outlineLevel="0" collapsed="false">
      <c r="A26" s="19" t="s">
        <v>1184</v>
      </c>
      <c r="B26" s="19" t="s">
        <v>1177</v>
      </c>
      <c r="C26" s="20" t="s">
        <v>1178</v>
      </c>
      <c r="D26" s="20" t="s">
        <v>1179</v>
      </c>
      <c r="E26" s="20" t="s">
        <v>1180</v>
      </c>
      <c r="F26" s="19" t="s">
        <v>29</v>
      </c>
      <c r="G26" s="20" t="s">
        <v>1185</v>
      </c>
      <c r="H26" s="20" t="s">
        <v>1186</v>
      </c>
      <c r="I26" s="19" t="s">
        <v>33</v>
      </c>
      <c r="J26" s="20" t="s">
        <v>1183</v>
      </c>
      <c r="K26" s="17" t="s">
        <v>34</v>
      </c>
      <c r="L26" s="18"/>
      <c r="M26" s="18"/>
      <c r="N26" s="18"/>
      <c r="O26" s="18"/>
    </row>
    <row r="27" customFormat="false" ht="23.85" hidden="false" customHeight="false" outlineLevel="0" collapsed="false">
      <c r="A27" s="19" t="s">
        <v>1187</v>
      </c>
      <c r="B27" s="19" t="s">
        <v>1177</v>
      </c>
      <c r="C27" s="20" t="s">
        <v>1178</v>
      </c>
      <c r="D27" s="20" t="s">
        <v>1179</v>
      </c>
      <c r="E27" s="20" t="s">
        <v>1180</v>
      </c>
      <c r="F27" s="19" t="s">
        <v>27</v>
      </c>
      <c r="G27" s="20" t="s">
        <v>1188</v>
      </c>
      <c r="H27" s="20" t="s">
        <v>1189</v>
      </c>
      <c r="I27" s="19" t="s">
        <v>31</v>
      </c>
      <c r="J27" s="20" t="s">
        <v>1183</v>
      </c>
      <c r="K27" s="17" t="s">
        <v>34</v>
      </c>
      <c r="L27" s="18"/>
      <c r="M27" s="18"/>
      <c r="N27" s="18"/>
      <c r="O27" s="18"/>
    </row>
    <row r="28" customFormat="false" ht="23.85" hidden="false" customHeight="false" outlineLevel="0" collapsed="false">
      <c r="A28" s="19" t="s">
        <v>1190</v>
      </c>
      <c r="B28" s="19" t="s">
        <v>1177</v>
      </c>
      <c r="C28" s="20" t="s">
        <v>1178</v>
      </c>
      <c r="D28" s="20" t="s">
        <v>1179</v>
      </c>
      <c r="E28" s="20" t="s">
        <v>1180</v>
      </c>
      <c r="F28" s="19" t="s">
        <v>29</v>
      </c>
      <c r="G28" s="20" t="s">
        <v>1191</v>
      </c>
      <c r="H28" s="20" t="s">
        <v>1192</v>
      </c>
      <c r="I28" s="19" t="s">
        <v>33</v>
      </c>
      <c r="J28" s="20" t="s">
        <v>1183</v>
      </c>
      <c r="K28" s="17" t="s">
        <v>34</v>
      </c>
      <c r="L28" s="18"/>
      <c r="M28" s="18"/>
      <c r="N28" s="18"/>
      <c r="O28" s="18"/>
    </row>
    <row r="29" customFormat="false" ht="35.05" hidden="false" customHeight="false" outlineLevel="0" collapsed="false">
      <c r="A29" s="15" t="s">
        <v>1193</v>
      </c>
      <c r="B29" s="15" t="s">
        <v>1194</v>
      </c>
      <c r="C29" s="16" t="s">
        <v>1195</v>
      </c>
      <c r="D29" s="16" t="s">
        <v>1196</v>
      </c>
      <c r="E29" s="16" t="s">
        <v>1197</v>
      </c>
      <c r="F29" s="15" t="s">
        <v>27</v>
      </c>
      <c r="G29" s="16" t="s">
        <v>1198</v>
      </c>
      <c r="H29" s="16" t="s">
        <v>1199</v>
      </c>
      <c r="I29" s="15" t="s">
        <v>31</v>
      </c>
      <c r="J29" s="16" t="s">
        <v>1200</v>
      </c>
      <c r="K29" s="17" t="s">
        <v>34</v>
      </c>
      <c r="L29" s="18"/>
      <c r="M29" s="18"/>
      <c r="N29" s="18"/>
      <c r="O29" s="18"/>
    </row>
    <row r="30" customFormat="false" ht="35.05" hidden="false" customHeight="false" outlineLevel="0" collapsed="false">
      <c r="A30" s="15" t="s">
        <v>1201</v>
      </c>
      <c r="B30" s="15" t="s">
        <v>1194</v>
      </c>
      <c r="C30" s="16" t="s">
        <v>1195</v>
      </c>
      <c r="D30" s="16" t="s">
        <v>1196</v>
      </c>
      <c r="E30" s="16" t="s">
        <v>1197</v>
      </c>
      <c r="F30" s="15" t="s">
        <v>28</v>
      </c>
      <c r="G30" s="16" t="s">
        <v>1202</v>
      </c>
      <c r="H30" s="16" t="s">
        <v>1203</v>
      </c>
      <c r="I30" s="15" t="s">
        <v>32</v>
      </c>
      <c r="J30" s="16" t="s">
        <v>1200</v>
      </c>
      <c r="K30" s="17" t="s">
        <v>34</v>
      </c>
      <c r="L30" s="18"/>
      <c r="M30" s="18"/>
      <c r="N30" s="18"/>
      <c r="O30" s="18"/>
    </row>
    <row r="31" customFormat="false" ht="35.05" hidden="false" customHeight="false" outlineLevel="0" collapsed="false">
      <c r="A31" s="15" t="s">
        <v>1204</v>
      </c>
      <c r="B31" s="15" t="s">
        <v>1194</v>
      </c>
      <c r="C31" s="16" t="s">
        <v>1195</v>
      </c>
      <c r="D31" s="16" t="s">
        <v>1196</v>
      </c>
      <c r="E31" s="16" t="s">
        <v>1197</v>
      </c>
      <c r="F31" s="15" t="s">
        <v>28</v>
      </c>
      <c r="G31" s="16" t="s">
        <v>1205</v>
      </c>
      <c r="H31" s="16" t="s">
        <v>1206</v>
      </c>
      <c r="I31" s="15" t="s">
        <v>32</v>
      </c>
      <c r="J31" s="16" t="s">
        <v>1200</v>
      </c>
      <c r="K31" s="17" t="s">
        <v>34</v>
      </c>
      <c r="L31" s="18"/>
      <c r="M31" s="18"/>
      <c r="N31" s="18"/>
      <c r="O31" s="18"/>
    </row>
    <row r="32" customFormat="false" ht="35.05" hidden="false" customHeight="false" outlineLevel="0" collapsed="false">
      <c r="A32" s="15" t="s">
        <v>1207</v>
      </c>
      <c r="B32" s="15" t="s">
        <v>1194</v>
      </c>
      <c r="C32" s="16" t="s">
        <v>1195</v>
      </c>
      <c r="D32" s="16" t="s">
        <v>1196</v>
      </c>
      <c r="E32" s="16" t="s">
        <v>1197</v>
      </c>
      <c r="F32" s="15" t="s">
        <v>28</v>
      </c>
      <c r="G32" s="16" t="s">
        <v>1208</v>
      </c>
      <c r="H32" s="16" t="s">
        <v>1209</v>
      </c>
      <c r="I32" s="15" t="s">
        <v>32</v>
      </c>
      <c r="J32" s="16" t="s">
        <v>1200</v>
      </c>
      <c r="K32" s="17" t="s">
        <v>34</v>
      </c>
      <c r="L32" s="18"/>
      <c r="M32" s="18"/>
      <c r="N32" s="18"/>
      <c r="O32" s="18"/>
    </row>
    <row r="33" customFormat="false" ht="35.05" hidden="false" customHeight="false" outlineLevel="0" collapsed="false">
      <c r="A33" s="15" t="s">
        <v>1210</v>
      </c>
      <c r="B33" s="15" t="s">
        <v>1194</v>
      </c>
      <c r="C33" s="16" t="s">
        <v>1195</v>
      </c>
      <c r="D33" s="16" t="s">
        <v>1196</v>
      </c>
      <c r="E33" s="16" t="s">
        <v>1197</v>
      </c>
      <c r="F33" s="15" t="s">
        <v>28</v>
      </c>
      <c r="G33" s="16" t="s">
        <v>443</v>
      </c>
      <c r="H33" s="16" t="s">
        <v>1211</v>
      </c>
      <c r="I33" s="15" t="s">
        <v>32</v>
      </c>
      <c r="J33" s="16" t="s">
        <v>1200</v>
      </c>
      <c r="K33" s="17" t="s">
        <v>34</v>
      </c>
      <c r="L33" s="18"/>
      <c r="M33" s="18"/>
      <c r="N33" s="18"/>
      <c r="O33" s="18"/>
    </row>
    <row r="34" customFormat="false" ht="35.05" hidden="false" customHeight="false" outlineLevel="0" collapsed="false">
      <c r="A34" s="15" t="s">
        <v>1212</v>
      </c>
      <c r="B34" s="15" t="s">
        <v>1194</v>
      </c>
      <c r="C34" s="16" t="s">
        <v>1195</v>
      </c>
      <c r="D34" s="16" t="s">
        <v>1196</v>
      </c>
      <c r="E34" s="16" t="s">
        <v>1197</v>
      </c>
      <c r="F34" s="15" t="s">
        <v>28</v>
      </c>
      <c r="G34" s="16" t="s">
        <v>1213</v>
      </c>
      <c r="H34" s="16" t="s">
        <v>1214</v>
      </c>
      <c r="I34" s="15" t="s">
        <v>32</v>
      </c>
      <c r="J34" s="16" t="s">
        <v>1200</v>
      </c>
      <c r="K34" s="17" t="s">
        <v>34</v>
      </c>
      <c r="L34" s="18"/>
      <c r="M34" s="18"/>
      <c r="N34" s="18"/>
      <c r="O34" s="18"/>
    </row>
    <row r="35" customFormat="false" ht="35.05" hidden="false" customHeight="false" outlineLevel="0" collapsed="false">
      <c r="A35" s="15" t="s">
        <v>1215</v>
      </c>
      <c r="B35" s="15" t="s">
        <v>1194</v>
      </c>
      <c r="C35" s="16" t="s">
        <v>1195</v>
      </c>
      <c r="D35" s="16" t="s">
        <v>1196</v>
      </c>
      <c r="E35" s="16" t="s">
        <v>1197</v>
      </c>
      <c r="F35" s="15" t="s">
        <v>29</v>
      </c>
      <c r="G35" s="16" t="s">
        <v>1216</v>
      </c>
      <c r="H35" s="16" t="s">
        <v>1217</v>
      </c>
      <c r="I35" s="15" t="s">
        <v>33</v>
      </c>
      <c r="J35" s="16" t="s">
        <v>1200</v>
      </c>
      <c r="K35" s="17" t="s">
        <v>34</v>
      </c>
      <c r="L35" s="18"/>
      <c r="M35" s="18"/>
      <c r="N35" s="18"/>
      <c r="O35" s="18"/>
    </row>
    <row r="36" customFormat="false" ht="23.85" hidden="false" customHeight="false" outlineLevel="0" collapsed="false">
      <c r="A36" s="19" t="s">
        <v>1218</v>
      </c>
      <c r="B36" s="19" t="s">
        <v>1219</v>
      </c>
      <c r="C36" s="20" t="s">
        <v>1220</v>
      </c>
      <c r="D36" s="20" t="s">
        <v>1196</v>
      </c>
      <c r="E36" s="20" t="s">
        <v>1221</v>
      </c>
      <c r="F36" s="19" t="s">
        <v>27</v>
      </c>
      <c r="G36" s="20" t="s">
        <v>1222</v>
      </c>
      <c r="H36" s="20" t="s">
        <v>1223</v>
      </c>
      <c r="I36" s="19" t="s">
        <v>31</v>
      </c>
      <c r="J36" s="20" t="s">
        <v>1224</v>
      </c>
      <c r="K36" s="17" t="s">
        <v>34</v>
      </c>
      <c r="L36" s="18"/>
      <c r="M36" s="18"/>
      <c r="N36" s="18"/>
      <c r="O36" s="18"/>
    </row>
    <row r="37" customFormat="false" ht="23.85" hidden="false" customHeight="false" outlineLevel="0" collapsed="false">
      <c r="A37" s="19" t="s">
        <v>1225</v>
      </c>
      <c r="B37" s="19" t="s">
        <v>1219</v>
      </c>
      <c r="C37" s="20" t="s">
        <v>1220</v>
      </c>
      <c r="D37" s="20" t="s">
        <v>1196</v>
      </c>
      <c r="E37" s="20" t="s">
        <v>1221</v>
      </c>
      <c r="F37" s="19" t="s">
        <v>28</v>
      </c>
      <c r="G37" s="20" t="s">
        <v>1226</v>
      </c>
      <c r="H37" s="20" t="s">
        <v>1227</v>
      </c>
      <c r="I37" s="19" t="s">
        <v>32</v>
      </c>
      <c r="J37" s="20" t="s">
        <v>1224</v>
      </c>
      <c r="K37" s="17" t="s">
        <v>34</v>
      </c>
      <c r="L37" s="18"/>
      <c r="M37" s="18"/>
      <c r="N37" s="18"/>
      <c r="O37" s="18"/>
    </row>
    <row r="38" customFormat="false" ht="35.05" hidden="false" customHeight="false" outlineLevel="0" collapsed="false">
      <c r="A38" s="19" t="s">
        <v>1228</v>
      </c>
      <c r="B38" s="19" t="s">
        <v>1219</v>
      </c>
      <c r="C38" s="20" t="s">
        <v>1220</v>
      </c>
      <c r="D38" s="20" t="s">
        <v>1196</v>
      </c>
      <c r="E38" s="20" t="s">
        <v>1221</v>
      </c>
      <c r="F38" s="19" t="s">
        <v>28</v>
      </c>
      <c r="G38" s="20" t="s">
        <v>1229</v>
      </c>
      <c r="H38" s="20" t="s">
        <v>1230</v>
      </c>
      <c r="I38" s="19" t="s">
        <v>32</v>
      </c>
      <c r="J38" s="20" t="s">
        <v>1224</v>
      </c>
      <c r="K38" s="17" t="s">
        <v>34</v>
      </c>
      <c r="L38" s="18"/>
      <c r="M38" s="18"/>
      <c r="N38" s="18"/>
      <c r="O38" s="18"/>
    </row>
    <row r="39" customFormat="false" ht="23.85" hidden="false" customHeight="false" outlineLevel="0" collapsed="false">
      <c r="A39" s="19" t="s">
        <v>1231</v>
      </c>
      <c r="B39" s="19" t="s">
        <v>1219</v>
      </c>
      <c r="C39" s="20" t="s">
        <v>1220</v>
      </c>
      <c r="D39" s="20" t="s">
        <v>1196</v>
      </c>
      <c r="E39" s="20" t="s">
        <v>1221</v>
      </c>
      <c r="F39" s="19" t="s">
        <v>28</v>
      </c>
      <c r="G39" s="20" t="s">
        <v>443</v>
      </c>
      <c r="H39" s="20" t="s">
        <v>1232</v>
      </c>
      <c r="I39" s="19" t="s">
        <v>32</v>
      </c>
      <c r="J39" s="20" t="s">
        <v>1224</v>
      </c>
      <c r="K39" s="17" t="s">
        <v>34</v>
      </c>
      <c r="L39" s="18"/>
      <c r="M39" s="18"/>
      <c r="N39" s="18"/>
      <c r="O39" s="18"/>
    </row>
    <row r="40" customFormat="false" ht="23.85" hidden="false" customHeight="false" outlineLevel="0" collapsed="false">
      <c r="A40" s="19" t="s">
        <v>1233</v>
      </c>
      <c r="B40" s="19" t="s">
        <v>1219</v>
      </c>
      <c r="C40" s="20" t="s">
        <v>1220</v>
      </c>
      <c r="D40" s="20" t="s">
        <v>1196</v>
      </c>
      <c r="E40" s="20" t="s">
        <v>1221</v>
      </c>
      <c r="F40" s="19" t="s">
        <v>30</v>
      </c>
      <c r="G40" s="20" t="s">
        <v>482</v>
      </c>
      <c r="H40" s="20" t="s">
        <v>1234</v>
      </c>
      <c r="I40" s="19" t="s">
        <v>31</v>
      </c>
      <c r="J40" s="20" t="s">
        <v>1224</v>
      </c>
      <c r="K40" s="17" t="s">
        <v>34</v>
      </c>
      <c r="L40" s="18"/>
      <c r="M40" s="18"/>
      <c r="N40" s="18"/>
      <c r="O40" s="18"/>
    </row>
    <row r="41" customFormat="false" ht="23.85" hidden="false" customHeight="false" outlineLevel="0" collapsed="false">
      <c r="A41" s="19" t="s">
        <v>1235</v>
      </c>
      <c r="B41" s="19" t="s">
        <v>1219</v>
      </c>
      <c r="C41" s="20" t="s">
        <v>1220</v>
      </c>
      <c r="D41" s="20" t="s">
        <v>1196</v>
      </c>
      <c r="E41" s="20" t="s">
        <v>1221</v>
      </c>
      <c r="F41" s="19" t="s">
        <v>28</v>
      </c>
      <c r="G41" s="20" t="s">
        <v>1236</v>
      </c>
      <c r="H41" s="20" t="s">
        <v>1237</v>
      </c>
      <c r="I41" s="19" t="s">
        <v>32</v>
      </c>
      <c r="J41" s="20" t="s">
        <v>1224</v>
      </c>
      <c r="K41" s="17" t="s">
        <v>34</v>
      </c>
      <c r="L41" s="18"/>
      <c r="M41" s="18"/>
      <c r="N41" s="18"/>
      <c r="O41" s="18"/>
    </row>
    <row r="42" customFormat="false" ht="23.85" hidden="false" customHeight="false" outlineLevel="0" collapsed="false">
      <c r="A42" s="19" t="s">
        <v>1238</v>
      </c>
      <c r="B42" s="19" t="s">
        <v>1219</v>
      </c>
      <c r="C42" s="20" t="s">
        <v>1220</v>
      </c>
      <c r="D42" s="20" t="s">
        <v>1196</v>
      </c>
      <c r="E42" s="20" t="s">
        <v>1221</v>
      </c>
      <c r="F42" s="19" t="s">
        <v>29</v>
      </c>
      <c r="G42" s="20" t="s">
        <v>639</v>
      </c>
      <c r="H42" s="20" t="s">
        <v>1239</v>
      </c>
      <c r="I42" s="19" t="s">
        <v>33</v>
      </c>
      <c r="J42" s="20" t="s">
        <v>1224</v>
      </c>
      <c r="K42" s="17" t="s">
        <v>34</v>
      </c>
      <c r="L42" s="18"/>
      <c r="M42" s="18"/>
      <c r="N42" s="18"/>
      <c r="O42" s="18"/>
    </row>
    <row r="43" customFormat="false" ht="23.85" hidden="false" customHeight="false" outlineLevel="0" collapsed="false">
      <c r="A43" s="19" t="s">
        <v>1240</v>
      </c>
      <c r="B43" s="19" t="s">
        <v>1219</v>
      </c>
      <c r="C43" s="20" t="s">
        <v>1220</v>
      </c>
      <c r="D43" s="20" t="s">
        <v>1196</v>
      </c>
      <c r="E43" s="20" t="s">
        <v>1221</v>
      </c>
      <c r="F43" s="19" t="s">
        <v>30</v>
      </c>
      <c r="G43" s="20" t="s">
        <v>1241</v>
      </c>
      <c r="H43" s="20" t="s">
        <v>1242</v>
      </c>
      <c r="I43" s="19" t="s">
        <v>31</v>
      </c>
      <c r="J43" s="20" t="s">
        <v>1224</v>
      </c>
      <c r="K43" s="17" t="s">
        <v>34</v>
      </c>
      <c r="L43" s="18"/>
      <c r="M43" s="18"/>
      <c r="N43" s="18"/>
      <c r="O43" s="18"/>
    </row>
    <row r="44" customFormat="false" ht="23.85" hidden="false" customHeight="false" outlineLevel="0" collapsed="false">
      <c r="A44" s="19" t="s">
        <v>1243</v>
      </c>
      <c r="B44" s="19" t="s">
        <v>1219</v>
      </c>
      <c r="C44" s="20" t="s">
        <v>1220</v>
      </c>
      <c r="D44" s="20" t="s">
        <v>1196</v>
      </c>
      <c r="E44" s="20" t="s">
        <v>1221</v>
      </c>
      <c r="F44" s="19" t="s">
        <v>29</v>
      </c>
      <c r="G44" s="20" t="s">
        <v>1244</v>
      </c>
      <c r="H44" s="20" t="s">
        <v>1245</v>
      </c>
      <c r="I44" s="19" t="s">
        <v>31</v>
      </c>
      <c r="J44" s="20" t="s">
        <v>1224</v>
      </c>
      <c r="K44" s="17" t="s">
        <v>34</v>
      </c>
      <c r="L44" s="18"/>
      <c r="M44" s="18"/>
      <c r="N44" s="18"/>
      <c r="O44" s="18"/>
    </row>
    <row r="45" customFormat="false" ht="23.85" hidden="false" customHeight="false" outlineLevel="0" collapsed="false">
      <c r="A45" s="15" t="s">
        <v>1246</v>
      </c>
      <c r="B45" s="15" t="s">
        <v>1247</v>
      </c>
      <c r="C45" s="16" t="s">
        <v>1248</v>
      </c>
      <c r="D45" s="16" t="s">
        <v>43</v>
      </c>
      <c r="E45" s="16" t="s">
        <v>1221</v>
      </c>
      <c r="F45" s="15" t="s">
        <v>27</v>
      </c>
      <c r="G45" s="16" t="s">
        <v>1249</v>
      </c>
      <c r="H45" s="16" t="s">
        <v>1250</v>
      </c>
      <c r="I45" s="15" t="s">
        <v>31</v>
      </c>
      <c r="J45" s="16" t="s">
        <v>1251</v>
      </c>
      <c r="K45" s="17" t="s">
        <v>34</v>
      </c>
      <c r="L45" s="18"/>
      <c r="M45" s="18"/>
      <c r="N45" s="18"/>
      <c r="O45" s="18"/>
    </row>
    <row r="46" customFormat="false" ht="23.85" hidden="false" customHeight="false" outlineLevel="0" collapsed="false">
      <c r="A46" s="15" t="s">
        <v>1252</v>
      </c>
      <c r="B46" s="15" t="s">
        <v>1247</v>
      </c>
      <c r="C46" s="16" t="s">
        <v>1248</v>
      </c>
      <c r="D46" s="16" t="s">
        <v>43</v>
      </c>
      <c r="E46" s="16" t="s">
        <v>1221</v>
      </c>
      <c r="F46" s="15" t="s">
        <v>29</v>
      </c>
      <c r="G46" s="16" t="s">
        <v>1253</v>
      </c>
      <c r="H46" s="16" t="s">
        <v>1254</v>
      </c>
      <c r="I46" s="15" t="s">
        <v>33</v>
      </c>
      <c r="J46" s="16" t="s">
        <v>1251</v>
      </c>
      <c r="K46" s="17" t="s">
        <v>34</v>
      </c>
      <c r="L46" s="18"/>
      <c r="M46" s="18"/>
      <c r="N46" s="18"/>
      <c r="O46" s="18"/>
    </row>
    <row r="47" customFormat="false" ht="23.85" hidden="false" customHeight="false" outlineLevel="0" collapsed="false">
      <c r="A47" s="15" t="s">
        <v>1255</v>
      </c>
      <c r="B47" s="15" t="s">
        <v>1247</v>
      </c>
      <c r="C47" s="16" t="s">
        <v>1248</v>
      </c>
      <c r="D47" s="16" t="s">
        <v>43</v>
      </c>
      <c r="E47" s="16" t="s">
        <v>1221</v>
      </c>
      <c r="F47" s="15" t="s">
        <v>29</v>
      </c>
      <c r="G47" s="16" t="s">
        <v>1256</v>
      </c>
      <c r="H47" s="16" t="s">
        <v>1257</v>
      </c>
      <c r="I47" s="15" t="s">
        <v>33</v>
      </c>
      <c r="J47" s="16" t="s">
        <v>1251</v>
      </c>
      <c r="K47" s="17" t="s">
        <v>34</v>
      </c>
      <c r="L47" s="18"/>
      <c r="M47" s="18"/>
      <c r="N47" s="18"/>
      <c r="O47" s="18"/>
    </row>
    <row r="48" customFormat="false" ht="23.85" hidden="false" customHeight="false" outlineLevel="0" collapsed="false">
      <c r="A48" s="15" t="s">
        <v>1258</v>
      </c>
      <c r="B48" s="15" t="s">
        <v>1247</v>
      </c>
      <c r="C48" s="16" t="s">
        <v>1248</v>
      </c>
      <c r="D48" s="16" t="s">
        <v>43</v>
      </c>
      <c r="E48" s="16" t="s">
        <v>1221</v>
      </c>
      <c r="F48" s="15" t="s">
        <v>27</v>
      </c>
      <c r="G48" s="16" t="s">
        <v>1259</v>
      </c>
      <c r="H48" s="16" t="s">
        <v>1260</v>
      </c>
      <c r="I48" s="15" t="s">
        <v>32</v>
      </c>
      <c r="J48" s="16" t="s">
        <v>1251</v>
      </c>
      <c r="K48" s="17" t="s">
        <v>34</v>
      </c>
      <c r="L48" s="18"/>
      <c r="M48" s="18"/>
      <c r="N48" s="18"/>
      <c r="O48" s="18"/>
    </row>
    <row r="49" customFormat="false" ht="23.85" hidden="false" customHeight="false" outlineLevel="0" collapsed="false">
      <c r="A49" s="15" t="s">
        <v>1261</v>
      </c>
      <c r="B49" s="15" t="s">
        <v>1247</v>
      </c>
      <c r="C49" s="16" t="s">
        <v>1248</v>
      </c>
      <c r="D49" s="16" t="s">
        <v>43</v>
      </c>
      <c r="E49" s="16" t="s">
        <v>1221</v>
      </c>
      <c r="F49" s="15" t="s">
        <v>28</v>
      </c>
      <c r="G49" s="16" t="s">
        <v>896</v>
      </c>
      <c r="H49" s="16" t="s">
        <v>1262</v>
      </c>
      <c r="I49" s="15" t="s">
        <v>32</v>
      </c>
      <c r="J49" s="16" t="s">
        <v>1251</v>
      </c>
      <c r="K49" s="17" t="s">
        <v>34</v>
      </c>
      <c r="L49" s="18"/>
      <c r="M49" s="18"/>
      <c r="N49" s="18"/>
      <c r="O49" s="18"/>
    </row>
    <row r="50" customFormat="false" ht="35.05" hidden="false" customHeight="false" outlineLevel="0" collapsed="false">
      <c r="A50" s="19" t="s">
        <v>1263</v>
      </c>
      <c r="B50" s="19" t="s">
        <v>1264</v>
      </c>
      <c r="C50" s="20" t="s">
        <v>1265</v>
      </c>
      <c r="D50" s="20" t="s">
        <v>43</v>
      </c>
      <c r="E50" s="20" t="s">
        <v>1266</v>
      </c>
      <c r="F50" s="19" t="s">
        <v>27</v>
      </c>
      <c r="G50" s="20" t="s">
        <v>1267</v>
      </c>
      <c r="H50" s="20" t="s">
        <v>1268</v>
      </c>
      <c r="I50" s="19" t="s">
        <v>31</v>
      </c>
      <c r="J50" s="20" t="s">
        <v>1269</v>
      </c>
      <c r="K50" s="17" t="s">
        <v>34</v>
      </c>
      <c r="L50" s="18"/>
      <c r="M50" s="18"/>
      <c r="N50" s="18"/>
      <c r="O50" s="18"/>
    </row>
    <row r="51" customFormat="false" ht="35.05" hidden="false" customHeight="false" outlineLevel="0" collapsed="false">
      <c r="A51" s="19" t="s">
        <v>1270</v>
      </c>
      <c r="B51" s="19" t="s">
        <v>1264</v>
      </c>
      <c r="C51" s="20" t="s">
        <v>1265</v>
      </c>
      <c r="D51" s="20" t="s">
        <v>43</v>
      </c>
      <c r="E51" s="20" t="s">
        <v>1266</v>
      </c>
      <c r="F51" s="19" t="s">
        <v>29</v>
      </c>
      <c r="G51" s="20" t="s">
        <v>1271</v>
      </c>
      <c r="H51" s="20" t="s">
        <v>1272</v>
      </c>
      <c r="I51" s="19" t="s">
        <v>33</v>
      </c>
      <c r="J51" s="20" t="s">
        <v>1269</v>
      </c>
      <c r="K51" s="17" t="s">
        <v>34</v>
      </c>
      <c r="L51" s="18"/>
      <c r="M51" s="18"/>
      <c r="N51" s="18"/>
      <c r="O51" s="18"/>
    </row>
    <row r="52" customFormat="false" ht="35.05" hidden="false" customHeight="false" outlineLevel="0" collapsed="false">
      <c r="A52" s="19" t="s">
        <v>1273</v>
      </c>
      <c r="B52" s="19" t="s">
        <v>1264</v>
      </c>
      <c r="C52" s="20" t="s">
        <v>1265</v>
      </c>
      <c r="D52" s="20" t="s">
        <v>43</v>
      </c>
      <c r="E52" s="20" t="s">
        <v>1266</v>
      </c>
      <c r="F52" s="19" t="s">
        <v>27</v>
      </c>
      <c r="G52" s="20" t="s">
        <v>1274</v>
      </c>
      <c r="H52" s="20" t="s">
        <v>1275</v>
      </c>
      <c r="I52" s="19" t="s">
        <v>31</v>
      </c>
      <c r="J52" s="20" t="s">
        <v>1269</v>
      </c>
      <c r="K52" s="17" t="s">
        <v>34</v>
      </c>
      <c r="L52" s="18"/>
      <c r="M52" s="18"/>
      <c r="N52" s="18"/>
      <c r="O52" s="18"/>
    </row>
    <row r="53" customFormat="false" ht="35.05" hidden="false" customHeight="false" outlineLevel="0" collapsed="false">
      <c r="A53" s="19" t="s">
        <v>1276</v>
      </c>
      <c r="B53" s="19" t="s">
        <v>1264</v>
      </c>
      <c r="C53" s="20" t="s">
        <v>1265</v>
      </c>
      <c r="D53" s="20" t="s">
        <v>43</v>
      </c>
      <c r="E53" s="20" t="s">
        <v>1266</v>
      </c>
      <c r="F53" s="19" t="s">
        <v>29</v>
      </c>
      <c r="G53" s="20" t="s">
        <v>1277</v>
      </c>
      <c r="H53" s="20" t="s">
        <v>1278</v>
      </c>
      <c r="I53" s="19" t="s">
        <v>33</v>
      </c>
      <c r="J53" s="20" t="s">
        <v>1269</v>
      </c>
      <c r="K53" s="17" t="s">
        <v>34</v>
      </c>
      <c r="L53" s="18"/>
      <c r="M53" s="18"/>
      <c r="N53" s="18"/>
      <c r="O53" s="18"/>
    </row>
    <row r="54" customFormat="false" ht="35.05" hidden="false" customHeight="false" outlineLevel="0" collapsed="false">
      <c r="A54" s="19" t="s">
        <v>1279</v>
      </c>
      <c r="B54" s="19" t="s">
        <v>1264</v>
      </c>
      <c r="C54" s="20" t="s">
        <v>1265</v>
      </c>
      <c r="D54" s="20" t="s">
        <v>43</v>
      </c>
      <c r="E54" s="20" t="s">
        <v>1266</v>
      </c>
      <c r="F54" s="19" t="s">
        <v>28</v>
      </c>
      <c r="G54" s="20" t="s">
        <v>840</v>
      </c>
      <c r="H54" s="20" t="s">
        <v>1280</v>
      </c>
      <c r="I54" s="19" t="s">
        <v>32</v>
      </c>
      <c r="J54" s="20" t="s">
        <v>1269</v>
      </c>
      <c r="K54" s="17" t="s">
        <v>34</v>
      </c>
      <c r="L54" s="18"/>
      <c r="M54" s="18"/>
      <c r="N54" s="18"/>
      <c r="O54" s="18"/>
    </row>
    <row r="55" customFormat="false" ht="35.05" hidden="false" customHeight="false" outlineLevel="0" collapsed="false">
      <c r="A55" s="19" t="s">
        <v>1281</v>
      </c>
      <c r="B55" s="19" t="s">
        <v>1264</v>
      </c>
      <c r="C55" s="20" t="s">
        <v>1265</v>
      </c>
      <c r="D55" s="20" t="s">
        <v>43</v>
      </c>
      <c r="E55" s="20" t="s">
        <v>1266</v>
      </c>
      <c r="F55" s="19" t="s">
        <v>29</v>
      </c>
      <c r="G55" s="20" t="s">
        <v>1282</v>
      </c>
      <c r="H55" s="20" t="s">
        <v>1283</v>
      </c>
      <c r="I55" s="19" t="s">
        <v>33</v>
      </c>
      <c r="J55" s="20" t="s">
        <v>1269</v>
      </c>
      <c r="K55" s="17" t="s">
        <v>34</v>
      </c>
      <c r="L55" s="18"/>
      <c r="M55" s="18"/>
      <c r="N55" s="18"/>
      <c r="O55" s="18"/>
    </row>
    <row r="56" customFormat="false" ht="23.85" hidden="false" customHeight="false" outlineLevel="0" collapsed="false">
      <c r="A56" s="15" t="s">
        <v>1284</v>
      </c>
      <c r="B56" s="15" t="s">
        <v>1285</v>
      </c>
      <c r="C56" s="16" t="s">
        <v>1286</v>
      </c>
      <c r="D56" s="16" t="s">
        <v>43</v>
      </c>
      <c r="E56" s="16" t="s">
        <v>1287</v>
      </c>
      <c r="F56" s="15" t="s">
        <v>27</v>
      </c>
      <c r="G56" s="16" t="s">
        <v>1288</v>
      </c>
      <c r="H56" s="16" t="s">
        <v>1289</v>
      </c>
      <c r="I56" s="15" t="s">
        <v>31</v>
      </c>
      <c r="J56" s="16" t="s">
        <v>1290</v>
      </c>
      <c r="K56" s="17" t="s">
        <v>34</v>
      </c>
      <c r="L56" s="18"/>
      <c r="M56" s="18"/>
      <c r="N56" s="18"/>
      <c r="O56" s="18"/>
    </row>
    <row r="57" customFormat="false" ht="23.85" hidden="false" customHeight="false" outlineLevel="0" collapsed="false">
      <c r="A57" s="15" t="s">
        <v>1291</v>
      </c>
      <c r="B57" s="15" t="s">
        <v>1285</v>
      </c>
      <c r="C57" s="16" t="s">
        <v>1286</v>
      </c>
      <c r="D57" s="16" t="s">
        <v>43</v>
      </c>
      <c r="E57" s="16" t="s">
        <v>1287</v>
      </c>
      <c r="F57" s="15" t="s">
        <v>28</v>
      </c>
      <c r="G57" s="16" t="s">
        <v>1292</v>
      </c>
      <c r="H57" s="16" t="s">
        <v>350</v>
      </c>
      <c r="I57" s="15" t="s">
        <v>32</v>
      </c>
      <c r="J57" s="16" t="s">
        <v>1290</v>
      </c>
      <c r="K57" s="17" t="s">
        <v>34</v>
      </c>
      <c r="L57" s="18"/>
      <c r="M57" s="18"/>
      <c r="N57" s="18"/>
      <c r="O57" s="18"/>
    </row>
    <row r="58" customFormat="false" ht="23.85" hidden="false" customHeight="false" outlineLevel="0" collapsed="false">
      <c r="A58" s="15" t="s">
        <v>1293</v>
      </c>
      <c r="B58" s="15" t="s">
        <v>1285</v>
      </c>
      <c r="C58" s="16" t="s">
        <v>1286</v>
      </c>
      <c r="D58" s="16" t="s">
        <v>43</v>
      </c>
      <c r="E58" s="16" t="s">
        <v>1287</v>
      </c>
      <c r="F58" s="15" t="s">
        <v>29</v>
      </c>
      <c r="G58" s="16" t="s">
        <v>1294</v>
      </c>
      <c r="H58" s="16" t="s">
        <v>1295</v>
      </c>
      <c r="I58" s="15" t="s">
        <v>33</v>
      </c>
      <c r="J58" s="16" t="s">
        <v>1290</v>
      </c>
      <c r="K58" s="17" t="s">
        <v>34</v>
      </c>
      <c r="L58" s="18"/>
      <c r="M58" s="18"/>
      <c r="N58" s="18"/>
      <c r="O58" s="18"/>
    </row>
    <row r="59" customFormat="false" ht="23.85" hidden="false" customHeight="false" outlineLevel="0" collapsed="false">
      <c r="A59" s="15" t="s">
        <v>1296</v>
      </c>
      <c r="B59" s="15" t="s">
        <v>1285</v>
      </c>
      <c r="C59" s="16" t="s">
        <v>1286</v>
      </c>
      <c r="D59" s="16" t="s">
        <v>43</v>
      </c>
      <c r="E59" s="16" t="s">
        <v>1287</v>
      </c>
      <c r="F59" s="15" t="s">
        <v>28</v>
      </c>
      <c r="G59" s="16" t="s">
        <v>1297</v>
      </c>
      <c r="H59" s="16" t="s">
        <v>1298</v>
      </c>
      <c r="I59" s="15" t="s">
        <v>32</v>
      </c>
      <c r="J59" s="16" t="s">
        <v>1290</v>
      </c>
      <c r="K59" s="17" t="s">
        <v>34</v>
      </c>
      <c r="L59" s="18"/>
      <c r="M59" s="18"/>
      <c r="N59" s="18"/>
      <c r="O59" s="18"/>
    </row>
    <row r="60" customFormat="false" ht="23.85" hidden="false" customHeight="false" outlineLevel="0" collapsed="false">
      <c r="A60" s="15" t="s">
        <v>1299</v>
      </c>
      <c r="B60" s="15" t="s">
        <v>1285</v>
      </c>
      <c r="C60" s="16" t="s">
        <v>1286</v>
      </c>
      <c r="D60" s="16" t="s">
        <v>43</v>
      </c>
      <c r="E60" s="16" t="s">
        <v>1287</v>
      </c>
      <c r="F60" s="15" t="s">
        <v>28</v>
      </c>
      <c r="G60" s="16" t="s">
        <v>1236</v>
      </c>
      <c r="H60" s="16" t="s">
        <v>1300</v>
      </c>
      <c r="I60" s="15" t="s">
        <v>32</v>
      </c>
      <c r="J60" s="16" t="s">
        <v>1290</v>
      </c>
      <c r="K60" s="17" t="s">
        <v>34</v>
      </c>
      <c r="L60" s="18"/>
      <c r="M60" s="18"/>
      <c r="N60" s="18"/>
      <c r="O60" s="18"/>
    </row>
    <row r="61" customFormat="false" ht="23.85" hidden="false" customHeight="false" outlineLevel="0" collapsed="false">
      <c r="A61" s="15" t="s">
        <v>1301</v>
      </c>
      <c r="B61" s="15" t="s">
        <v>1285</v>
      </c>
      <c r="C61" s="16" t="s">
        <v>1286</v>
      </c>
      <c r="D61" s="16" t="s">
        <v>43</v>
      </c>
      <c r="E61" s="16" t="s">
        <v>1287</v>
      </c>
      <c r="F61" s="15" t="s">
        <v>30</v>
      </c>
      <c r="G61" s="16" t="s">
        <v>1302</v>
      </c>
      <c r="H61" s="16" t="s">
        <v>1303</v>
      </c>
      <c r="I61" s="15" t="s">
        <v>31</v>
      </c>
      <c r="J61" s="16" t="s">
        <v>1290</v>
      </c>
      <c r="K61" s="17" t="s">
        <v>34</v>
      </c>
      <c r="L61" s="18"/>
      <c r="M61" s="18"/>
      <c r="N61" s="18"/>
      <c r="O61" s="18"/>
    </row>
    <row r="62" customFormat="false" ht="23.85" hidden="false" customHeight="false" outlineLevel="0" collapsed="false">
      <c r="A62" s="15" t="s">
        <v>1304</v>
      </c>
      <c r="B62" s="15" t="s">
        <v>1285</v>
      </c>
      <c r="C62" s="16" t="s">
        <v>1286</v>
      </c>
      <c r="D62" s="16" t="s">
        <v>43</v>
      </c>
      <c r="E62" s="16" t="s">
        <v>1287</v>
      </c>
      <c r="F62" s="15" t="s">
        <v>30</v>
      </c>
      <c r="G62" s="16" t="s">
        <v>1305</v>
      </c>
      <c r="H62" s="16" t="s">
        <v>1306</v>
      </c>
      <c r="I62" s="15" t="s">
        <v>31</v>
      </c>
      <c r="J62" s="16" t="s">
        <v>1290</v>
      </c>
      <c r="K62" s="17" t="s">
        <v>34</v>
      </c>
      <c r="L62" s="18"/>
      <c r="M62" s="18"/>
      <c r="N62" s="18"/>
      <c r="O62" s="18"/>
    </row>
    <row r="63" customFormat="false" ht="35.05" hidden="false" customHeight="false" outlineLevel="0" collapsed="false">
      <c r="A63" s="19" t="s">
        <v>1307</v>
      </c>
      <c r="B63" s="19" t="s">
        <v>1308</v>
      </c>
      <c r="C63" s="20" t="s">
        <v>1309</v>
      </c>
      <c r="D63" s="20" t="s">
        <v>43</v>
      </c>
      <c r="E63" s="20" t="s">
        <v>1310</v>
      </c>
      <c r="F63" s="19" t="s">
        <v>27</v>
      </c>
      <c r="G63" s="20" t="s">
        <v>1311</v>
      </c>
      <c r="H63" s="20" t="s">
        <v>1312</v>
      </c>
      <c r="I63" s="19" t="s">
        <v>31</v>
      </c>
      <c r="J63" s="20" t="s">
        <v>1313</v>
      </c>
      <c r="K63" s="17" t="s">
        <v>34</v>
      </c>
      <c r="L63" s="18"/>
      <c r="M63" s="18"/>
      <c r="N63" s="18"/>
      <c r="O63" s="18"/>
    </row>
    <row r="64" customFormat="false" ht="23.85" hidden="false" customHeight="false" outlineLevel="0" collapsed="false">
      <c r="A64" s="19" t="s">
        <v>1314</v>
      </c>
      <c r="B64" s="19" t="s">
        <v>1308</v>
      </c>
      <c r="C64" s="20" t="s">
        <v>1309</v>
      </c>
      <c r="D64" s="20" t="s">
        <v>43</v>
      </c>
      <c r="E64" s="20" t="s">
        <v>1310</v>
      </c>
      <c r="F64" s="19" t="s">
        <v>27</v>
      </c>
      <c r="G64" s="20" t="s">
        <v>1315</v>
      </c>
      <c r="H64" s="20" t="s">
        <v>1316</v>
      </c>
      <c r="I64" s="19" t="s">
        <v>31</v>
      </c>
      <c r="J64" s="20" t="s">
        <v>1313</v>
      </c>
      <c r="K64" s="17" t="s">
        <v>34</v>
      </c>
      <c r="L64" s="18"/>
      <c r="M64" s="18"/>
      <c r="N64" s="18"/>
      <c r="O64" s="18"/>
    </row>
    <row r="65" customFormat="false" ht="23.85" hidden="false" customHeight="false" outlineLevel="0" collapsed="false">
      <c r="A65" s="19" t="s">
        <v>1317</v>
      </c>
      <c r="B65" s="19" t="s">
        <v>1308</v>
      </c>
      <c r="C65" s="20" t="s">
        <v>1309</v>
      </c>
      <c r="D65" s="20" t="s">
        <v>43</v>
      </c>
      <c r="E65" s="20" t="s">
        <v>1310</v>
      </c>
      <c r="F65" s="19" t="s">
        <v>29</v>
      </c>
      <c r="G65" s="20" t="s">
        <v>1318</v>
      </c>
      <c r="H65" s="20" t="s">
        <v>1319</v>
      </c>
      <c r="I65" s="19" t="s">
        <v>33</v>
      </c>
      <c r="J65" s="20" t="s">
        <v>1313</v>
      </c>
      <c r="K65" s="17" t="s">
        <v>34</v>
      </c>
      <c r="L65" s="18"/>
      <c r="M65" s="18"/>
      <c r="N65" s="18"/>
      <c r="O65" s="18"/>
    </row>
    <row r="66" customFormat="false" ht="23.85" hidden="false" customHeight="false" outlineLevel="0" collapsed="false">
      <c r="A66" s="19" t="s">
        <v>1320</v>
      </c>
      <c r="B66" s="19" t="s">
        <v>1308</v>
      </c>
      <c r="C66" s="20" t="s">
        <v>1309</v>
      </c>
      <c r="D66" s="20" t="s">
        <v>43</v>
      </c>
      <c r="E66" s="20" t="s">
        <v>1310</v>
      </c>
      <c r="F66" s="19" t="s">
        <v>29</v>
      </c>
      <c r="G66" s="20" t="s">
        <v>1321</v>
      </c>
      <c r="H66" s="20" t="s">
        <v>1322</v>
      </c>
      <c r="I66" s="19" t="s">
        <v>33</v>
      </c>
      <c r="J66" s="20" t="s">
        <v>1313</v>
      </c>
      <c r="K66" s="17" t="s">
        <v>34</v>
      </c>
      <c r="L66" s="18"/>
      <c r="M66" s="18"/>
      <c r="N66" s="18"/>
      <c r="O66" s="18"/>
    </row>
    <row r="67" customFormat="false" ht="23.85" hidden="false" customHeight="false" outlineLevel="0" collapsed="false">
      <c r="A67" s="19" t="s">
        <v>1323</v>
      </c>
      <c r="B67" s="19" t="s">
        <v>1308</v>
      </c>
      <c r="C67" s="20" t="s">
        <v>1309</v>
      </c>
      <c r="D67" s="20" t="s">
        <v>43</v>
      </c>
      <c r="E67" s="20" t="s">
        <v>1310</v>
      </c>
      <c r="F67" s="19" t="s">
        <v>28</v>
      </c>
      <c r="G67" s="20" t="s">
        <v>840</v>
      </c>
      <c r="H67" s="20" t="s">
        <v>1324</v>
      </c>
      <c r="I67" s="19" t="s">
        <v>32</v>
      </c>
      <c r="J67" s="20" t="s">
        <v>1313</v>
      </c>
      <c r="K67" s="17" t="s">
        <v>34</v>
      </c>
      <c r="L67" s="18"/>
      <c r="M67" s="18"/>
      <c r="N67" s="18"/>
      <c r="O67" s="18"/>
    </row>
    <row r="68" customFormat="false" ht="23.85" hidden="false" customHeight="false" outlineLevel="0" collapsed="false">
      <c r="A68" s="19" t="s">
        <v>1325</v>
      </c>
      <c r="B68" s="19" t="s">
        <v>1308</v>
      </c>
      <c r="C68" s="20" t="s">
        <v>1309</v>
      </c>
      <c r="D68" s="20" t="s">
        <v>43</v>
      </c>
      <c r="E68" s="20" t="s">
        <v>1310</v>
      </c>
      <c r="F68" s="19" t="s">
        <v>29</v>
      </c>
      <c r="G68" s="20" t="s">
        <v>1326</v>
      </c>
      <c r="H68" s="20" t="s">
        <v>1327</v>
      </c>
      <c r="I68" s="19" t="s">
        <v>31</v>
      </c>
      <c r="J68" s="20" t="s">
        <v>1313</v>
      </c>
      <c r="K68" s="17" t="s">
        <v>34</v>
      </c>
      <c r="L68" s="18"/>
      <c r="M68" s="18"/>
      <c r="N68" s="18"/>
      <c r="O68" s="18"/>
    </row>
    <row r="69" customFormat="false" ht="35.05" hidden="false" customHeight="false" outlineLevel="0" collapsed="false">
      <c r="A69" s="15" t="s">
        <v>1328</v>
      </c>
      <c r="B69" s="15" t="s">
        <v>1329</v>
      </c>
      <c r="C69" s="16" t="s">
        <v>1330</v>
      </c>
      <c r="D69" s="16" t="s">
        <v>1331</v>
      </c>
      <c r="E69" s="16" t="s">
        <v>1332</v>
      </c>
      <c r="F69" s="15" t="s">
        <v>27</v>
      </c>
      <c r="G69" s="16" t="s">
        <v>1333</v>
      </c>
      <c r="H69" s="16" t="s">
        <v>1334</v>
      </c>
      <c r="I69" s="15" t="s">
        <v>31</v>
      </c>
      <c r="J69" s="16" t="s">
        <v>1335</v>
      </c>
      <c r="K69" s="17" t="s">
        <v>34</v>
      </c>
      <c r="L69" s="18"/>
      <c r="M69" s="18"/>
      <c r="N69" s="18"/>
      <c r="O69" s="18"/>
    </row>
    <row r="70" customFormat="false" ht="35.05" hidden="false" customHeight="false" outlineLevel="0" collapsed="false">
      <c r="A70" s="15" t="s">
        <v>1336</v>
      </c>
      <c r="B70" s="15" t="s">
        <v>1329</v>
      </c>
      <c r="C70" s="16" t="s">
        <v>1330</v>
      </c>
      <c r="D70" s="16" t="s">
        <v>1331</v>
      </c>
      <c r="E70" s="16" t="s">
        <v>1332</v>
      </c>
      <c r="F70" s="15" t="s">
        <v>27</v>
      </c>
      <c r="G70" s="16" t="s">
        <v>1337</v>
      </c>
      <c r="H70" s="16" t="s">
        <v>1338</v>
      </c>
      <c r="I70" s="15" t="s">
        <v>31</v>
      </c>
      <c r="J70" s="16" t="s">
        <v>1335</v>
      </c>
      <c r="K70" s="17" t="s">
        <v>34</v>
      </c>
      <c r="L70" s="18"/>
      <c r="M70" s="18"/>
      <c r="N70" s="18"/>
      <c r="O70" s="18"/>
    </row>
    <row r="71" customFormat="false" ht="35.05" hidden="false" customHeight="false" outlineLevel="0" collapsed="false">
      <c r="A71" s="15" t="s">
        <v>1339</v>
      </c>
      <c r="B71" s="15" t="s">
        <v>1329</v>
      </c>
      <c r="C71" s="16" t="s">
        <v>1330</v>
      </c>
      <c r="D71" s="16" t="s">
        <v>1331</v>
      </c>
      <c r="E71" s="16" t="s">
        <v>1332</v>
      </c>
      <c r="F71" s="15" t="s">
        <v>28</v>
      </c>
      <c r="G71" s="16" t="s">
        <v>1340</v>
      </c>
      <c r="H71" s="16" t="s">
        <v>1341</v>
      </c>
      <c r="I71" s="15" t="s">
        <v>32</v>
      </c>
      <c r="J71" s="16" t="s">
        <v>1335</v>
      </c>
      <c r="K71" s="17" t="s">
        <v>34</v>
      </c>
      <c r="L71" s="18"/>
      <c r="M71" s="18"/>
      <c r="N71" s="18"/>
      <c r="O71" s="18"/>
    </row>
    <row r="72" customFormat="false" ht="35.05" hidden="false" customHeight="false" outlineLevel="0" collapsed="false">
      <c r="A72" s="15" t="s">
        <v>1342</v>
      </c>
      <c r="B72" s="15" t="s">
        <v>1329</v>
      </c>
      <c r="C72" s="16" t="s">
        <v>1330</v>
      </c>
      <c r="D72" s="16" t="s">
        <v>1331</v>
      </c>
      <c r="E72" s="16" t="s">
        <v>1332</v>
      </c>
      <c r="F72" s="15" t="s">
        <v>28</v>
      </c>
      <c r="G72" s="16" t="s">
        <v>1343</v>
      </c>
      <c r="H72" s="16" t="s">
        <v>1344</v>
      </c>
      <c r="I72" s="15" t="s">
        <v>32</v>
      </c>
      <c r="J72" s="16" t="s">
        <v>1335</v>
      </c>
      <c r="K72" s="17" t="s">
        <v>34</v>
      </c>
      <c r="L72" s="18"/>
      <c r="M72" s="18"/>
      <c r="N72" s="18"/>
      <c r="O72" s="18"/>
    </row>
    <row r="73" customFormat="false" ht="35.05" hidden="false" customHeight="false" outlineLevel="0" collapsed="false">
      <c r="A73" s="15" t="s">
        <v>1345</v>
      </c>
      <c r="B73" s="15" t="s">
        <v>1329</v>
      </c>
      <c r="C73" s="16" t="s">
        <v>1330</v>
      </c>
      <c r="D73" s="16" t="s">
        <v>1331</v>
      </c>
      <c r="E73" s="16" t="s">
        <v>1332</v>
      </c>
      <c r="F73" s="15" t="s">
        <v>29</v>
      </c>
      <c r="G73" s="16" t="s">
        <v>1346</v>
      </c>
      <c r="H73" s="16" t="s">
        <v>1347</v>
      </c>
      <c r="I73" s="15" t="s">
        <v>33</v>
      </c>
      <c r="J73" s="16" t="s">
        <v>1335</v>
      </c>
      <c r="K73" s="17" t="s">
        <v>34</v>
      </c>
      <c r="L73" s="18"/>
      <c r="M73" s="18"/>
      <c r="N73" s="18"/>
      <c r="O73" s="18"/>
    </row>
    <row r="74" customFormat="false" ht="35.05" hidden="false" customHeight="false" outlineLevel="0" collapsed="false">
      <c r="A74" s="15" t="s">
        <v>1348</v>
      </c>
      <c r="B74" s="15" t="s">
        <v>1329</v>
      </c>
      <c r="C74" s="16" t="s">
        <v>1330</v>
      </c>
      <c r="D74" s="16" t="s">
        <v>1331</v>
      </c>
      <c r="E74" s="16" t="s">
        <v>1332</v>
      </c>
      <c r="F74" s="15" t="s">
        <v>29</v>
      </c>
      <c r="G74" s="16" t="s">
        <v>1349</v>
      </c>
      <c r="H74" s="16" t="s">
        <v>1350</v>
      </c>
      <c r="I74" s="15" t="s">
        <v>33</v>
      </c>
      <c r="J74" s="16" t="s">
        <v>1335</v>
      </c>
      <c r="K74" s="17" t="s">
        <v>34</v>
      </c>
      <c r="L74" s="18"/>
      <c r="M74" s="18"/>
      <c r="N74" s="18"/>
      <c r="O74" s="18"/>
    </row>
    <row r="75" customFormat="false" ht="35.05" hidden="false" customHeight="false" outlineLevel="0" collapsed="false">
      <c r="A75" s="15" t="s">
        <v>1351</v>
      </c>
      <c r="B75" s="15" t="s">
        <v>1329</v>
      </c>
      <c r="C75" s="16" t="s">
        <v>1330</v>
      </c>
      <c r="D75" s="16" t="s">
        <v>1331</v>
      </c>
      <c r="E75" s="16" t="s">
        <v>1332</v>
      </c>
      <c r="F75" s="15" t="s">
        <v>29</v>
      </c>
      <c r="G75" s="16" t="s">
        <v>1352</v>
      </c>
      <c r="H75" s="16" t="s">
        <v>1353</v>
      </c>
      <c r="I75" s="15" t="s">
        <v>33</v>
      </c>
      <c r="J75" s="16" t="s">
        <v>1335</v>
      </c>
      <c r="K75" s="17" t="s">
        <v>34</v>
      </c>
      <c r="L75" s="18"/>
      <c r="M75" s="18"/>
      <c r="N75" s="18"/>
      <c r="O75" s="18"/>
    </row>
    <row r="76" customFormat="false" ht="35.05" hidden="false" customHeight="false" outlineLevel="0" collapsed="false">
      <c r="A76" s="15" t="s">
        <v>1354</v>
      </c>
      <c r="B76" s="15" t="s">
        <v>1329</v>
      </c>
      <c r="C76" s="16" t="s">
        <v>1330</v>
      </c>
      <c r="D76" s="16" t="s">
        <v>1331</v>
      </c>
      <c r="E76" s="16" t="s">
        <v>1332</v>
      </c>
      <c r="F76" s="15" t="s">
        <v>28</v>
      </c>
      <c r="G76" s="16" t="s">
        <v>1355</v>
      </c>
      <c r="H76" s="16" t="s">
        <v>1356</v>
      </c>
      <c r="I76" s="15" t="s">
        <v>32</v>
      </c>
      <c r="J76" s="16" t="s">
        <v>1335</v>
      </c>
      <c r="K76" s="17" t="s">
        <v>34</v>
      </c>
      <c r="L76" s="18"/>
      <c r="M76" s="18"/>
      <c r="N76" s="18"/>
      <c r="O76" s="18"/>
    </row>
    <row r="77" customFormat="false" ht="35.05" hidden="false" customHeight="false" outlineLevel="0" collapsed="false">
      <c r="A77" s="15" t="s">
        <v>1357</v>
      </c>
      <c r="B77" s="15" t="s">
        <v>1329</v>
      </c>
      <c r="C77" s="16" t="s">
        <v>1330</v>
      </c>
      <c r="D77" s="16" t="s">
        <v>1331</v>
      </c>
      <c r="E77" s="16" t="s">
        <v>1332</v>
      </c>
      <c r="F77" s="15" t="s">
        <v>30</v>
      </c>
      <c r="G77" s="16" t="s">
        <v>1358</v>
      </c>
      <c r="H77" s="16" t="s">
        <v>1359</v>
      </c>
      <c r="I77" s="15" t="s">
        <v>31</v>
      </c>
      <c r="J77" s="16" t="s">
        <v>1335</v>
      </c>
      <c r="K77" s="17" t="s">
        <v>34</v>
      </c>
      <c r="L77" s="18"/>
      <c r="M77" s="18"/>
      <c r="N77" s="18"/>
      <c r="O77" s="18"/>
    </row>
    <row r="78" customFormat="false" ht="57.45" hidden="false" customHeight="false" outlineLevel="0" collapsed="false">
      <c r="A78" s="19" t="s">
        <v>1360</v>
      </c>
      <c r="B78" s="19" t="s">
        <v>1361</v>
      </c>
      <c r="C78" s="20" t="s">
        <v>1362</v>
      </c>
      <c r="D78" s="20" t="s">
        <v>1363</v>
      </c>
      <c r="E78" s="20" t="s">
        <v>1364</v>
      </c>
      <c r="F78" s="19" t="s">
        <v>27</v>
      </c>
      <c r="G78" s="20" t="s">
        <v>1365</v>
      </c>
      <c r="H78" s="20" t="s">
        <v>1366</v>
      </c>
      <c r="I78" s="19" t="s">
        <v>31</v>
      </c>
      <c r="J78" s="20" t="s">
        <v>1367</v>
      </c>
      <c r="K78" s="17" t="s">
        <v>34</v>
      </c>
      <c r="L78" s="18"/>
      <c r="M78" s="18"/>
      <c r="N78" s="18"/>
      <c r="O78" s="18"/>
    </row>
    <row r="79" customFormat="false" ht="57.45" hidden="false" customHeight="false" outlineLevel="0" collapsed="false">
      <c r="A79" s="19" t="s">
        <v>1368</v>
      </c>
      <c r="B79" s="19" t="s">
        <v>1361</v>
      </c>
      <c r="C79" s="20" t="s">
        <v>1362</v>
      </c>
      <c r="D79" s="20" t="s">
        <v>1363</v>
      </c>
      <c r="E79" s="20" t="s">
        <v>1364</v>
      </c>
      <c r="F79" s="19" t="s">
        <v>29</v>
      </c>
      <c r="G79" s="20" t="s">
        <v>1369</v>
      </c>
      <c r="H79" s="20" t="s">
        <v>1370</v>
      </c>
      <c r="I79" s="19" t="s">
        <v>33</v>
      </c>
      <c r="J79" s="20" t="s">
        <v>1367</v>
      </c>
      <c r="K79" s="17" t="s">
        <v>34</v>
      </c>
      <c r="L79" s="18"/>
      <c r="M79" s="18"/>
      <c r="N79" s="18"/>
      <c r="O79" s="18"/>
    </row>
    <row r="80" customFormat="false" ht="57.45" hidden="false" customHeight="false" outlineLevel="0" collapsed="false">
      <c r="A80" s="19" t="s">
        <v>1371</v>
      </c>
      <c r="B80" s="19" t="s">
        <v>1361</v>
      </c>
      <c r="C80" s="20" t="s">
        <v>1362</v>
      </c>
      <c r="D80" s="20" t="s">
        <v>1363</v>
      </c>
      <c r="E80" s="20" t="s">
        <v>1364</v>
      </c>
      <c r="F80" s="19" t="s">
        <v>29</v>
      </c>
      <c r="G80" s="20" t="s">
        <v>1372</v>
      </c>
      <c r="H80" s="20" t="s">
        <v>1373</v>
      </c>
      <c r="I80" s="19" t="s">
        <v>31</v>
      </c>
      <c r="J80" s="20" t="s">
        <v>1367</v>
      </c>
      <c r="K80" s="17" t="s">
        <v>34</v>
      </c>
      <c r="L80" s="18"/>
      <c r="M80" s="18"/>
      <c r="N80" s="18"/>
      <c r="O80" s="18"/>
    </row>
    <row r="81" customFormat="false" ht="57.45" hidden="false" customHeight="false" outlineLevel="0" collapsed="false">
      <c r="A81" s="19" t="s">
        <v>1374</v>
      </c>
      <c r="B81" s="19" t="s">
        <v>1361</v>
      </c>
      <c r="C81" s="20" t="s">
        <v>1362</v>
      </c>
      <c r="D81" s="20" t="s">
        <v>1363</v>
      </c>
      <c r="E81" s="20" t="s">
        <v>1364</v>
      </c>
      <c r="F81" s="19" t="s">
        <v>28</v>
      </c>
      <c r="G81" s="20" t="s">
        <v>1375</v>
      </c>
      <c r="H81" s="20" t="s">
        <v>1376</v>
      </c>
      <c r="I81" s="19" t="s">
        <v>32</v>
      </c>
      <c r="J81" s="20" t="s">
        <v>1367</v>
      </c>
      <c r="K81" s="17" t="s">
        <v>34</v>
      </c>
      <c r="L81" s="18"/>
      <c r="M81" s="18"/>
      <c r="N81" s="18"/>
      <c r="O81" s="18"/>
    </row>
    <row r="82" customFormat="false" ht="57.45" hidden="false" customHeight="false" outlineLevel="0" collapsed="false">
      <c r="A82" s="19" t="s">
        <v>1377</v>
      </c>
      <c r="B82" s="19" t="s">
        <v>1361</v>
      </c>
      <c r="C82" s="20" t="s">
        <v>1362</v>
      </c>
      <c r="D82" s="20" t="s">
        <v>1363</v>
      </c>
      <c r="E82" s="20" t="s">
        <v>1364</v>
      </c>
      <c r="F82" s="19" t="s">
        <v>29</v>
      </c>
      <c r="G82" s="20" t="s">
        <v>1378</v>
      </c>
      <c r="H82" s="20" t="s">
        <v>1379</v>
      </c>
      <c r="I82" s="19" t="s">
        <v>33</v>
      </c>
      <c r="J82" s="20" t="s">
        <v>1367</v>
      </c>
      <c r="K82" s="17" t="s">
        <v>34</v>
      </c>
      <c r="L82" s="18"/>
      <c r="M82" s="18"/>
      <c r="N82" s="18"/>
      <c r="O82" s="18"/>
    </row>
    <row r="83" customFormat="false" ht="57.45" hidden="false" customHeight="false" outlineLevel="0" collapsed="false">
      <c r="A83" s="19" t="s">
        <v>1380</v>
      </c>
      <c r="B83" s="19" t="s">
        <v>1361</v>
      </c>
      <c r="C83" s="20" t="s">
        <v>1362</v>
      </c>
      <c r="D83" s="20" t="s">
        <v>1363</v>
      </c>
      <c r="E83" s="20" t="s">
        <v>1364</v>
      </c>
      <c r="F83" s="19" t="s">
        <v>30</v>
      </c>
      <c r="G83" s="20" t="s">
        <v>1381</v>
      </c>
      <c r="H83" s="20" t="s">
        <v>1382</v>
      </c>
      <c r="I83" s="19" t="s">
        <v>31</v>
      </c>
      <c r="J83" s="20" t="s">
        <v>1367</v>
      </c>
      <c r="K83" s="17" t="s">
        <v>34</v>
      </c>
      <c r="L83" s="18"/>
      <c r="M83" s="18"/>
      <c r="N83" s="18"/>
      <c r="O83" s="18"/>
    </row>
    <row r="84" customFormat="false" ht="57.45" hidden="false" customHeight="false" outlineLevel="0" collapsed="false">
      <c r="A84" s="19" t="s">
        <v>1383</v>
      </c>
      <c r="B84" s="19" t="s">
        <v>1361</v>
      </c>
      <c r="C84" s="20" t="s">
        <v>1362</v>
      </c>
      <c r="D84" s="20" t="s">
        <v>1363</v>
      </c>
      <c r="E84" s="20" t="s">
        <v>1364</v>
      </c>
      <c r="F84" s="19" t="s">
        <v>29</v>
      </c>
      <c r="G84" s="20" t="s">
        <v>1384</v>
      </c>
      <c r="H84" s="20" t="s">
        <v>1385</v>
      </c>
      <c r="I84" s="19" t="s">
        <v>32</v>
      </c>
      <c r="J84" s="20" t="s">
        <v>1367</v>
      </c>
      <c r="K84" s="17" t="s">
        <v>34</v>
      </c>
      <c r="L84" s="18"/>
      <c r="M84" s="18"/>
      <c r="N84" s="18"/>
      <c r="O84" s="18"/>
    </row>
    <row r="85" customFormat="false" ht="57.45" hidden="false" customHeight="false" outlineLevel="0" collapsed="false">
      <c r="A85" s="15" t="s">
        <v>1386</v>
      </c>
      <c r="B85" s="15" t="s">
        <v>1387</v>
      </c>
      <c r="C85" s="16" t="s">
        <v>1388</v>
      </c>
      <c r="D85" s="16" t="s">
        <v>1363</v>
      </c>
      <c r="E85" s="16" t="s">
        <v>1389</v>
      </c>
      <c r="F85" s="15" t="s">
        <v>27</v>
      </c>
      <c r="G85" s="16" t="s">
        <v>1390</v>
      </c>
      <c r="H85" s="16" t="s">
        <v>1391</v>
      </c>
      <c r="I85" s="15" t="s">
        <v>31</v>
      </c>
      <c r="J85" s="16" t="s">
        <v>1392</v>
      </c>
      <c r="K85" s="17" t="s">
        <v>34</v>
      </c>
      <c r="L85" s="18"/>
      <c r="M85" s="18"/>
      <c r="N85" s="18"/>
      <c r="O85" s="18"/>
    </row>
    <row r="86" customFormat="false" ht="57.45" hidden="false" customHeight="false" outlineLevel="0" collapsed="false">
      <c r="A86" s="15" t="s">
        <v>1393</v>
      </c>
      <c r="B86" s="15" t="s">
        <v>1387</v>
      </c>
      <c r="C86" s="16" t="s">
        <v>1388</v>
      </c>
      <c r="D86" s="16" t="s">
        <v>1363</v>
      </c>
      <c r="E86" s="16" t="s">
        <v>1389</v>
      </c>
      <c r="F86" s="15" t="s">
        <v>27</v>
      </c>
      <c r="G86" s="16" t="s">
        <v>1394</v>
      </c>
      <c r="H86" s="16" t="s">
        <v>1395</v>
      </c>
      <c r="I86" s="15" t="s">
        <v>31</v>
      </c>
      <c r="J86" s="16" t="s">
        <v>1392</v>
      </c>
      <c r="K86" s="17" t="s">
        <v>34</v>
      </c>
      <c r="L86" s="18"/>
      <c r="M86" s="18"/>
      <c r="N86" s="18"/>
      <c r="O86" s="18"/>
    </row>
    <row r="87" customFormat="false" ht="57.45" hidden="false" customHeight="false" outlineLevel="0" collapsed="false">
      <c r="A87" s="15" t="s">
        <v>1396</v>
      </c>
      <c r="B87" s="15" t="s">
        <v>1387</v>
      </c>
      <c r="C87" s="16" t="s">
        <v>1388</v>
      </c>
      <c r="D87" s="16" t="s">
        <v>1363</v>
      </c>
      <c r="E87" s="16" t="s">
        <v>1389</v>
      </c>
      <c r="F87" s="15" t="s">
        <v>28</v>
      </c>
      <c r="G87" s="16" t="s">
        <v>1397</v>
      </c>
      <c r="H87" s="16" t="s">
        <v>1398</v>
      </c>
      <c r="I87" s="15" t="s">
        <v>32</v>
      </c>
      <c r="J87" s="16" t="s">
        <v>1392</v>
      </c>
      <c r="K87" s="17" t="s">
        <v>34</v>
      </c>
      <c r="L87" s="18"/>
      <c r="M87" s="18"/>
      <c r="N87" s="18"/>
      <c r="O87" s="18"/>
    </row>
    <row r="88" customFormat="false" ht="57.45" hidden="false" customHeight="false" outlineLevel="0" collapsed="false">
      <c r="A88" s="15" t="s">
        <v>1399</v>
      </c>
      <c r="B88" s="15" t="s">
        <v>1387</v>
      </c>
      <c r="C88" s="16" t="s">
        <v>1388</v>
      </c>
      <c r="D88" s="16" t="s">
        <v>1363</v>
      </c>
      <c r="E88" s="16" t="s">
        <v>1389</v>
      </c>
      <c r="F88" s="15" t="s">
        <v>28</v>
      </c>
      <c r="G88" s="16" t="s">
        <v>1400</v>
      </c>
      <c r="H88" s="16" t="s">
        <v>1401</v>
      </c>
      <c r="I88" s="15" t="s">
        <v>32</v>
      </c>
      <c r="J88" s="16" t="s">
        <v>1392</v>
      </c>
      <c r="K88" s="17" t="s">
        <v>34</v>
      </c>
      <c r="L88" s="18"/>
      <c r="M88" s="18"/>
      <c r="N88" s="18"/>
      <c r="O88" s="18"/>
    </row>
    <row r="89" customFormat="false" ht="57.45" hidden="false" customHeight="false" outlineLevel="0" collapsed="false">
      <c r="A89" s="15" t="s">
        <v>1402</v>
      </c>
      <c r="B89" s="15" t="s">
        <v>1387</v>
      </c>
      <c r="C89" s="16" t="s">
        <v>1388</v>
      </c>
      <c r="D89" s="16" t="s">
        <v>1363</v>
      </c>
      <c r="E89" s="16" t="s">
        <v>1389</v>
      </c>
      <c r="F89" s="15" t="s">
        <v>28</v>
      </c>
      <c r="G89" s="16" t="s">
        <v>1403</v>
      </c>
      <c r="H89" s="16" t="s">
        <v>1404</v>
      </c>
      <c r="I89" s="15" t="s">
        <v>32</v>
      </c>
      <c r="J89" s="16" t="s">
        <v>1392</v>
      </c>
      <c r="K89" s="17" t="s">
        <v>34</v>
      </c>
      <c r="L89" s="18"/>
      <c r="M89" s="18"/>
      <c r="N89" s="18"/>
      <c r="O89" s="18"/>
    </row>
    <row r="90" customFormat="false" ht="57.45" hidden="false" customHeight="false" outlineLevel="0" collapsed="false">
      <c r="A90" s="15" t="s">
        <v>1405</v>
      </c>
      <c r="B90" s="15" t="s">
        <v>1387</v>
      </c>
      <c r="C90" s="16" t="s">
        <v>1388</v>
      </c>
      <c r="D90" s="16" t="s">
        <v>1363</v>
      </c>
      <c r="E90" s="16" t="s">
        <v>1389</v>
      </c>
      <c r="F90" s="15" t="s">
        <v>28</v>
      </c>
      <c r="G90" s="16" t="s">
        <v>1406</v>
      </c>
      <c r="H90" s="16" t="s">
        <v>1407</v>
      </c>
      <c r="I90" s="15" t="s">
        <v>32</v>
      </c>
      <c r="J90" s="16" t="s">
        <v>1392</v>
      </c>
      <c r="K90" s="17" t="s">
        <v>34</v>
      </c>
      <c r="L90" s="18"/>
      <c r="M90" s="18"/>
      <c r="N90" s="18"/>
      <c r="O90" s="18"/>
    </row>
    <row r="91" customFormat="false" ht="57.45" hidden="false" customHeight="false" outlineLevel="0" collapsed="false">
      <c r="A91" s="15" t="s">
        <v>1408</v>
      </c>
      <c r="B91" s="15" t="s">
        <v>1387</v>
      </c>
      <c r="C91" s="16" t="s">
        <v>1388</v>
      </c>
      <c r="D91" s="16" t="s">
        <v>1363</v>
      </c>
      <c r="E91" s="16" t="s">
        <v>1389</v>
      </c>
      <c r="F91" s="15" t="s">
        <v>28</v>
      </c>
      <c r="G91" s="16" t="s">
        <v>1409</v>
      </c>
      <c r="H91" s="16" t="s">
        <v>443</v>
      </c>
      <c r="I91" s="15" t="s">
        <v>32</v>
      </c>
      <c r="J91" s="16" t="s">
        <v>1392</v>
      </c>
      <c r="K91" s="17" t="s">
        <v>34</v>
      </c>
      <c r="L91" s="18"/>
      <c r="M91" s="18"/>
      <c r="N91" s="18"/>
      <c r="O91" s="18"/>
    </row>
    <row r="92" customFormat="false" ht="57.45" hidden="false" customHeight="false" outlineLevel="0" collapsed="false">
      <c r="A92" s="15" t="s">
        <v>1410</v>
      </c>
      <c r="B92" s="15" t="s">
        <v>1387</v>
      </c>
      <c r="C92" s="16" t="s">
        <v>1388</v>
      </c>
      <c r="D92" s="16" t="s">
        <v>1363</v>
      </c>
      <c r="E92" s="16" t="s">
        <v>1389</v>
      </c>
      <c r="F92" s="15" t="s">
        <v>29</v>
      </c>
      <c r="G92" s="16" t="s">
        <v>1411</v>
      </c>
      <c r="H92" s="16" t="s">
        <v>1412</v>
      </c>
      <c r="I92" s="15" t="s">
        <v>33</v>
      </c>
      <c r="J92" s="16" t="s">
        <v>1392</v>
      </c>
      <c r="K92" s="17" t="s">
        <v>34</v>
      </c>
      <c r="L92" s="18"/>
      <c r="M92" s="18"/>
      <c r="N92" s="18"/>
      <c r="O92" s="18"/>
    </row>
    <row r="93" customFormat="false" ht="57.45" hidden="false" customHeight="false" outlineLevel="0" collapsed="false">
      <c r="A93" s="15" t="s">
        <v>1413</v>
      </c>
      <c r="B93" s="15" t="s">
        <v>1387</v>
      </c>
      <c r="C93" s="16" t="s">
        <v>1388</v>
      </c>
      <c r="D93" s="16" t="s">
        <v>1363</v>
      </c>
      <c r="E93" s="16" t="s">
        <v>1389</v>
      </c>
      <c r="F93" s="15" t="s">
        <v>30</v>
      </c>
      <c r="G93" s="16" t="s">
        <v>1414</v>
      </c>
      <c r="H93" s="16" t="s">
        <v>1415</v>
      </c>
      <c r="I93" s="15" t="s">
        <v>31</v>
      </c>
      <c r="J93" s="16" t="s">
        <v>1392</v>
      </c>
      <c r="K93" s="17" t="s">
        <v>34</v>
      </c>
      <c r="L93" s="18"/>
      <c r="M93" s="18"/>
      <c r="N93" s="18"/>
      <c r="O93" s="18"/>
    </row>
    <row r="94" customFormat="false" ht="57.45" hidden="false" customHeight="false" outlineLevel="0" collapsed="false">
      <c r="A94" s="15" t="s">
        <v>1416</v>
      </c>
      <c r="B94" s="15" t="s">
        <v>1387</v>
      </c>
      <c r="C94" s="16" t="s">
        <v>1388</v>
      </c>
      <c r="D94" s="16" t="s">
        <v>1363</v>
      </c>
      <c r="E94" s="16" t="s">
        <v>1389</v>
      </c>
      <c r="F94" s="15" t="s">
        <v>30</v>
      </c>
      <c r="G94" s="16" t="s">
        <v>1417</v>
      </c>
      <c r="H94" s="16" t="s">
        <v>392</v>
      </c>
      <c r="I94" s="15" t="s">
        <v>31</v>
      </c>
      <c r="J94" s="16" t="s">
        <v>1392</v>
      </c>
      <c r="K94" s="17" t="s">
        <v>34</v>
      </c>
      <c r="L94" s="18"/>
      <c r="M94" s="18"/>
      <c r="N94" s="18"/>
      <c r="O94" s="18"/>
    </row>
    <row r="95" customFormat="false" ht="57.45" hidden="false" customHeight="false" outlineLevel="0" collapsed="false">
      <c r="A95" s="15" t="s">
        <v>1418</v>
      </c>
      <c r="B95" s="15" t="s">
        <v>1387</v>
      </c>
      <c r="C95" s="16" t="s">
        <v>1388</v>
      </c>
      <c r="D95" s="16" t="s">
        <v>1363</v>
      </c>
      <c r="E95" s="16" t="s">
        <v>1389</v>
      </c>
      <c r="F95" s="15" t="s">
        <v>30</v>
      </c>
      <c r="G95" s="16" t="s">
        <v>1419</v>
      </c>
      <c r="H95" s="16" t="s">
        <v>1420</v>
      </c>
      <c r="I95" s="15" t="s">
        <v>31</v>
      </c>
      <c r="J95" s="16" t="s">
        <v>1392</v>
      </c>
      <c r="K95" s="17" t="s">
        <v>34</v>
      </c>
      <c r="L95" s="18"/>
      <c r="M95" s="18"/>
      <c r="N95" s="18"/>
      <c r="O95" s="18"/>
    </row>
    <row r="96" customFormat="false" ht="57.45" hidden="false" customHeight="false" outlineLevel="0" collapsed="false">
      <c r="A96" s="15" t="s">
        <v>1421</v>
      </c>
      <c r="B96" s="15" t="s">
        <v>1387</v>
      </c>
      <c r="C96" s="16" t="s">
        <v>1388</v>
      </c>
      <c r="D96" s="16" t="s">
        <v>1363</v>
      </c>
      <c r="E96" s="16" t="s">
        <v>1389</v>
      </c>
      <c r="F96" s="15" t="s">
        <v>29</v>
      </c>
      <c r="G96" s="16" t="s">
        <v>1422</v>
      </c>
      <c r="H96" s="16" t="s">
        <v>1423</v>
      </c>
      <c r="I96" s="15" t="s">
        <v>32</v>
      </c>
      <c r="J96" s="16" t="s">
        <v>1392</v>
      </c>
      <c r="K96" s="17" t="s">
        <v>34</v>
      </c>
      <c r="L96" s="18"/>
      <c r="M96" s="18"/>
      <c r="N96" s="18"/>
      <c r="O96" s="18"/>
    </row>
    <row r="97" customFormat="false" ht="23.85" hidden="false" customHeight="false" outlineLevel="0" collapsed="false">
      <c r="A97" s="19" t="s">
        <v>1424</v>
      </c>
      <c r="B97" s="19" t="s">
        <v>1425</v>
      </c>
      <c r="C97" s="20" t="s">
        <v>1426</v>
      </c>
      <c r="D97" s="20" t="s">
        <v>43</v>
      </c>
      <c r="E97" s="20" t="s">
        <v>1266</v>
      </c>
      <c r="F97" s="19" t="s">
        <v>27</v>
      </c>
      <c r="G97" s="20" t="s">
        <v>846</v>
      </c>
      <c r="H97" s="20" t="s">
        <v>1427</v>
      </c>
      <c r="I97" s="19" t="s">
        <v>31</v>
      </c>
      <c r="J97" s="20" t="s">
        <v>1428</v>
      </c>
      <c r="K97" s="17" t="s">
        <v>34</v>
      </c>
      <c r="L97" s="18"/>
      <c r="M97" s="18"/>
      <c r="N97" s="18"/>
      <c r="O97" s="18"/>
    </row>
    <row r="98" customFormat="false" ht="35.05" hidden="false" customHeight="false" outlineLevel="0" collapsed="false">
      <c r="A98" s="19" t="s">
        <v>1429</v>
      </c>
      <c r="B98" s="19" t="s">
        <v>1425</v>
      </c>
      <c r="C98" s="20" t="s">
        <v>1426</v>
      </c>
      <c r="D98" s="20" t="s">
        <v>43</v>
      </c>
      <c r="E98" s="20" t="s">
        <v>1266</v>
      </c>
      <c r="F98" s="19" t="s">
        <v>27</v>
      </c>
      <c r="G98" s="20" t="s">
        <v>1430</v>
      </c>
      <c r="H98" s="20" t="s">
        <v>1431</v>
      </c>
      <c r="I98" s="19" t="s">
        <v>31</v>
      </c>
      <c r="J98" s="20" t="s">
        <v>1428</v>
      </c>
      <c r="K98" s="17" t="s">
        <v>34</v>
      </c>
      <c r="L98" s="18"/>
      <c r="M98" s="18"/>
      <c r="N98" s="18"/>
      <c r="O98" s="18"/>
    </row>
    <row r="99" customFormat="false" ht="15" hidden="false" customHeight="false" outlineLevel="0" collapsed="false">
      <c r="A99" s="19" t="s">
        <v>1432</v>
      </c>
      <c r="B99" s="19" t="s">
        <v>1425</v>
      </c>
      <c r="C99" s="20" t="s">
        <v>1426</v>
      </c>
      <c r="D99" s="20" t="s">
        <v>43</v>
      </c>
      <c r="E99" s="20" t="s">
        <v>1266</v>
      </c>
      <c r="F99" s="19" t="s">
        <v>29</v>
      </c>
      <c r="G99" s="20" t="s">
        <v>1433</v>
      </c>
      <c r="H99" s="20" t="s">
        <v>1434</v>
      </c>
      <c r="I99" s="19" t="s">
        <v>33</v>
      </c>
      <c r="J99" s="20" t="s">
        <v>1428</v>
      </c>
      <c r="K99" s="17" t="s">
        <v>34</v>
      </c>
      <c r="L99" s="18"/>
      <c r="M99" s="18"/>
      <c r="N99" s="18"/>
      <c r="O99" s="18"/>
    </row>
    <row r="100" customFormat="false" ht="15" hidden="false" customHeight="false" outlineLevel="0" collapsed="false">
      <c r="A100" s="19" t="s">
        <v>1435</v>
      </c>
      <c r="B100" s="19" t="s">
        <v>1425</v>
      </c>
      <c r="C100" s="20" t="s">
        <v>1426</v>
      </c>
      <c r="D100" s="20" t="s">
        <v>43</v>
      </c>
      <c r="E100" s="20" t="s">
        <v>1266</v>
      </c>
      <c r="F100" s="19" t="s">
        <v>28</v>
      </c>
      <c r="G100" s="20" t="s">
        <v>1436</v>
      </c>
      <c r="H100" s="20" t="s">
        <v>1437</v>
      </c>
      <c r="I100" s="19" t="s">
        <v>32</v>
      </c>
      <c r="J100" s="20" t="s">
        <v>1428</v>
      </c>
      <c r="K100" s="17" t="s">
        <v>34</v>
      </c>
      <c r="L100" s="18"/>
      <c r="M100" s="18"/>
      <c r="N100" s="18"/>
      <c r="O100" s="18"/>
    </row>
    <row r="101" customFormat="false" ht="15" hidden="false" customHeight="false" outlineLevel="0" collapsed="false">
      <c r="A101" s="19" t="s">
        <v>1438</v>
      </c>
      <c r="B101" s="19" t="s">
        <v>1425</v>
      </c>
      <c r="C101" s="20" t="s">
        <v>1426</v>
      </c>
      <c r="D101" s="20" t="s">
        <v>43</v>
      </c>
      <c r="E101" s="20" t="s">
        <v>1266</v>
      </c>
      <c r="F101" s="19" t="s">
        <v>30</v>
      </c>
      <c r="G101" s="20" t="s">
        <v>1439</v>
      </c>
      <c r="H101" s="20" t="s">
        <v>859</v>
      </c>
      <c r="I101" s="19" t="s">
        <v>31</v>
      </c>
      <c r="J101" s="20" t="s">
        <v>1428</v>
      </c>
      <c r="K101" s="17" t="s">
        <v>34</v>
      </c>
      <c r="L101" s="18"/>
      <c r="M101" s="18"/>
      <c r="N101" s="18"/>
      <c r="O101" s="18"/>
    </row>
    <row r="102" customFormat="false" ht="23.85" hidden="false" customHeight="false" outlineLevel="0" collapsed="false">
      <c r="A102" s="19" t="s">
        <v>1440</v>
      </c>
      <c r="B102" s="19" t="s">
        <v>1425</v>
      </c>
      <c r="C102" s="20" t="s">
        <v>1426</v>
      </c>
      <c r="D102" s="20" t="s">
        <v>43</v>
      </c>
      <c r="E102" s="20" t="s">
        <v>1266</v>
      </c>
      <c r="F102" s="19" t="s">
        <v>29</v>
      </c>
      <c r="G102" s="20" t="s">
        <v>1441</v>
      </c>
      <c r="H102" s="20" t="s">
        <v>1442</v>
      </c>
      <c r="I102" s="19" t="s">
        <v>32</v>
      </c>
      <c r="J102" s="20" t="s">
        <v>1428</v>
      </c>
      <c r="K102" s="17" t="s">
        <v>34</v>
      </c>
      <c r="L102" s="18"/>
      <c r="M102" s="18"/>
      <c r="N102" s="18"/>
      <c r="O102" s="18"/>
    </row>
    <row r="103" customFormat="false" ht="46.25" hidden="false" customHeight="false" outlineLevel="0" collapsed="false">
      <c r="A103" s="15" t="s">
        <v>1443</v>
      </c>
      <c r="B103" s="15" t="s">
        <v>1444</v>
      </c>
      <c r="C103" s="16" t="s">
        <v>1445</v>
      </c>
      <c r="D103" s="16" t="s">
        <v>43</v>
      </c>
      <c r="E103" s="16" t="s">
        <v>1266</v>
      </c>
      <c r="F103" s="15" t="s">
        <v>27</v>
      </c>
      <c r="G103" s="16" t="s">
        <v>1446</v>
      </c>
      <c r="H103" s="16" t="s">
        <v>1447</v>
      </c>
      <c r="I103" s="15" t="s">
        <v>31</v>
      </c>
      <c r="J103" s="16" t="s">
        <v>1448</v>
      </c>
      <c r="K103" s="17" t="s">
        <v>34</v>
      </c>
      <c r="L103" s="18"/>
      <c r="M103" s="18"/>
      <c r="N103" s="18"/>
      <c r="O103" s="18"/>
    </row>
    <row r="104" customFormat="false" ht="46.25" hidden="false" customHeight="false" outlineLevel="0" collapsed="false">
      <c r="A104" s="15" t="s">
        <v>1449</v>
      </c>
      <c r="B104" s="15" t="s">
        <v>1444</v>
      </c>
      <c r="C104" s="16" t="s">
        <v>1445</v>
      </c>
      <c r="D104" s="16" t="s">
        <v>43</v>
      </c>
      <c r="E104" s="16" t="s">
        <v>1266</v>
      </c>
      <c r="F104" s="15" t="s">
        <v>29</v>
      </c>
      <c r="G104" s="16" t="s">
        <v>1450</v>
      </c>
      <c r="H104" s="16" t="s">
        <v>1451</v>
      </c>
      <c r="I104" s="15" t="s">
        <v>33</v>
      </c>
      <c r="J104" s="16" t="s">
        <v>1448</v>
      </c>
      <c r="K104" s="17" t="s">
        <v>34</v>
      </c>
      <c r="L104" s="18"/>
      <c r="M104" s="18"/>
      <c r="N104" s="18"/>
      <c r="O104" s="18"/>
    </row>
    <row r="105" customFormat="false" ht="46.25" hidden="false" customHeight="false" outlineLevel="0" collapsed="false">
      <c r="A105" s="15" t="s">
        <v>1452</v>
      </c>
      <c r="B105" s="15" t="s">
        <v>1444</v>
      </c>
      <c r="C105" s="16" t="s">
        <v>1445</v>
      </c>
      <c r="D105" s="16" t="s">
        <v>43</v>
      </c>
      <c r="E105" s="16" t="s">
        <v>1266</v>
      </c>
      <c r="F105" s="15" t="s">
        <v>28</v>
      </c>
      <c r="G105" s="16" t="s">
        <v>1453</v>
      </c>
      <c r="H105" s="16" t="s">
        <v>1454</v>
      </c>
      <c r="I105" s="15" t="s">
        <v>32</v>
      </c>
      <c r="J105" s="16" t="s">
        <v>1448</v>
      </c>
      <c r="K105" s="17" t="s">
        <v>34</v>
      </c>
      <c r="L105" s="18"/>
      <c r="M105" s="18"/>
      <c r="N105" s="18"/>
      <c r="O105" s="18"/>
    </row>
    <row r="106" customFormat="false" ht="46.25" hidden="false" customHeight="false" outlineLevel="0" collapsed="false">
      <c r="A106" s="15" t="s">
        <v>1455</v>
      </c>
      <c r="B106" s="15" t="s">
        <v>1444</v>
      </c>
      <c r="C106" s="16" t="s">
        <v>1445</v>
      </c>
      <c r="D106" s="16" t="s">
        <v>43</v>
      </c>
      <c r="E106" s="16" t="s">
        <v>1266</v>
      </c>
      <c r="F106" s="15" t="s">
        <v>29</v>
      </c>
      <c r="G106" s="16" t="s">
        <v>1456</v>
      </c>
      <c r="H106" s="16" t="s">
        <v>1457</v>
      </c>
      <c r="I106" s="15" t="s">
        <v>33</v>
      </c>
      <c r="J106" s="16" t="s">
        <v>1448</v>
      </c>
      <c r="K106" s="17" t="s">
        <v>34</v>
      </c>
      <c r="L106" s="18"/>
      <c r="M106" s="18"/>
      <c r="N106" s="18"/>
      <c r="O106" s="18"/>
    </row>
    <row r="107" customFormat="false" ht="46.25" hidden="false" customHeight="false" outlineLevel="0" collapsed="false">
      <c r="A107" s="15" t="s">
        <v>1458</v>
      </c>
      <c r="B107" s="15" t="s">
        <v>1444</v>
      </c>
      <c r="C107" s="16" t="s">
        <v>1445</v>
      </c>
      <c r="D107" s="16" t="s">
        <v>43</v>
      </c>
      <c r="E107" s="16" t="s">
        <v>1266</v>
      </c>
      <c r="F107" s="15" t="s">
        <v>28</v>
      </c>
      <c r="G107" s="16" t="s">
        <v>1459</v>
      </c>
      <c r="H107" s="16" t="s">
        <v>1460</v>
      </c>
      <c r="I107" s="15" t="s">
        <v>32</v>
      </c>
      <c r="J107" s="16" t="s">
        <v>1448</v>
      </c>
      <c r="K107" s="17" t="s">
        <v>34</v>
      </c>
      <c r="L107" s="18"/>
      <c r="M107" s="18"/>
      <c r="N107" s="18"/>
      <c r="O107" s="18"/>
    </row>
    <row r="108" customFormat="false" ht="46.25" hidden="false" customHeight="false" outlineLevel="0" collapsed="false">
      <c r="A108" s="15" t="s">
        <v>1461</v>
      </c>
      <c r="B108" s="15" t="s">
        <v>1444</v>
      </c>
      <c r="C108" s="16" t="s">
        <v>1445</v>
      </c>
      <c r="D108" s="16" t="s">
        <v>43</v>
      </c>
      <c r="E108" s="16" t="s">
        <v>1266</v>
      </c>
      <c r="F108" s="15" t="s">
        <v>30</v>
      </c>
      <c r="G108" s="16" t="s">
        <v>1462</v>
      </c>
      <c r="H108" s="16" t="s">
        <v>247</v>
      </c>
      <c r="I108" s="15" t="s">
        <v>31</v>
      </c>
      <c r="J108" s="16" t="s">
        <v>1448</v>
      </c>
      <c r="K108" s="17" t="s">
        <v>34</v>
      </c>
      <c r="L108" s="18"/>
      <c r="M108" s="18"/>
      <c r="N108" s="18"/>
      <c r="O108" s="18"/>
    </row>
    <row r="109" customFormat="false" ht="46.25" hidden="false" customHeight="false" outlineLevel="0" collapsed="false">
      <c r="A109" s="15" t="s">
        <v>1463</v>
      </c>
      <c r="B109" s="15" t="s">
        <v>1444</v>
      </c>
      <c r="C109" s="16" t="s">
        <v>1445</v>
      </c>
      <c r="D109" s="16" t="s">
        <v>43</v>
      </c>
      <c r="E109" s="16" t="s">
        <v>1266</v>
      </c>
      <c r="F109" s="15" t="s">
        <v>29</v>
      </c>
      <c r="G109" s="16" t="s">
        <v>1464</v>
      </c>
      <c r="H109" s="16" t="s">
        <v>1465</v>
      </c>
      <c r="I109" s="15" t="s">
        <v>32</v>
      </c>
      <c r="J109" s="16" t="s">
        <v>1448</v>
      </c>
      <c r="K109" s="17" t="s">
        <v>34</v>
      </c>
      <c r="L109" s="18"/>
      <c r="M109" s="18"/>
      <c r="N109" s="18"/>
      <c r="O109" s="18"/>
    </row>
    <row r="110" customFormat="false" ht="23.85" hidden="false" customHeight="false" outlineLevel="0" collapsed="false">
      <c r="A110" s="19" t="s">
        <v>1466</v>
      </c>
      <c r="B110" s="19" t="s">
        <v>1467</v>
      </c>
      <c r="C110" s="20" t="s">
        <v>1468</v>
      </c>
      <c r="D110" s="20" t="s">
        <v>1469</v>
      </c>
      <c r="E110" s="20" t="s">
        <v>1470</v>
      </c>
      <c r="F110" s="19" t="s">
        <v>27</v>
      </c>
      <c r="G110" s="20" t="s">
        <v>1471</v>
      </c>
      <c r="H110" s="20" t="s">
        <v>1472</v>
      </c>
      <c r="I110" s="19" t="s">
        <v>31</v>
      </c>
      <c r="J110" s="20" t="s">
        <v>1473</v>
      </c>
      <c r="K110" s="17" t="s">
        <v>34</v>
      </c>
      <c r="L110" s="18"/>
      <c r="M110" s="18"/>
      <c r="N110" s="18"/>
      <c r="O110" s="18"/>
    </row>
    <row r="111" customFormat="false" ht="23.85" hidden="false" customHeight="false" outlineLevel="0" collapsed="false">
      <c r="A111" s="19" t="s">
        <v>1474</v>
      </c>
      <c r="B111" s="19" t="s">
        <v>1467</v>
      </c>
      <c r="C111" s="20" t="s">
        <v>1468</v>
      </c>
      <c r="D111" s="20" t="s">
        <v>1469</v>
      </c>
      <c r="E111" s="20" t="s">
        <v>1470</v>
      </c>
      <c r="F111" s="19" t="s">
        <v>29</v>
      </c>
      <c r="G111" s="20" t="s">
        <v>1475</v>
      </c>
      <c r="H111" s="20" t="s">
        <v>1476</v>
      </c>
      <c r="I111" s="19" t="s">
        <v>33</v>
      </c>
      <c r="J111" s="20" t="s">
        <v>1473</v>
      </c>
      <c r="K111" s="17" t="s">
        <v>34</v>
      </c>
      <c r="L111" s="18"/>
      <c r="M111" s="18"/>
      <c r="N111" s="18"/>
      <c r="O111" s="18"/>
    </row>
    <row r="112" customFormat="false" ht="23.85" hidden="false" customHeight="false" outlineLevel="0" collapsed="false">
      <c r="A112" s="19" t="s">
        <v>1477</v>
      </c>
      <c r="B112" s="19" t="s">
        <v>1467</v>
      </c>
      <c r="C112" s="20" t="s">
        <v>1468</v>
      </c>
      <c r="D112" s="20" t="s">
        <v>1469</v>
      </c>
      <c r="E112" s="20" t="s">
        <v>1470</v>
      </c>
      <c r="F112" s="19" t="s">
        <v>27</v>
      </c>
      <c r="G112" s="20" t="s">
        <v>1478</v>
      </c>
      <c r="H112" s="20" t="s">
        <v>1479</v>
      </c>
      <c r="I112" s="19" t="s">
        <v>31</v>
      </c>
      <c r="J112" s="20" t="s">
        <v>1473</v>
      </c>
      <c r="K112" s="17" t="s">
        <v>34</v>
      </c>
      <c r="L112" s="18"/>
      <c r="M112" s="18"/>
      <c r="N112" s="18"/>
      <c r="O112" s="18"/>
    </row>
    <row r="113" customFormat="false" ht="23.85" hidden="false" customHeight="false" outlineLevel="0" collapsed="false">
      <c r="A113" s="19" t="s">
        <v>1480</v>
      </c>
      <c r="B113" s="19" t="s">
        <v>1467</v>
      </c>
      <c r="C113" s="20" t="s">
        <v>1468</v>
      </c>
      <c r="D113" s="20" t="s">
        <v>1469</v>
      </c>
      <c r="E113" s="20" t="s">
        <v>1470</v>
      </c>
      <c r="F113" s="19" t="s">
        <v>30</v>
      </c>
      <c r="G113" s="20" t="s">
        <v>482</v>
      </c>
      <c r="H113" s="20" t="s">
        <v>1481</v>
      </c>
      <c r="I113" s="19" t="s">
        <v>31</v>
      </c>
      <c r="J113" s="20" t="s">
        <v>1473</v>
      </c>
      <c r="K113" s="17" t="s">
        <v>34</v>
      </c>
      <c r="L113" s="18"/>
      <c r="M113" s="18"/>
      <c r="N113" s="18"/>
      <c r="O113" s="18"/>
    </row>
    <row r="114" customFormat="false" ht="23.85" hidden="false" customHeight="false" outlineLevel="0" collapsed="false">
      <c r="A114" s="19" t="s">
        <v>1482</v>
      </c>
      <c r="B114" s="19" t="s">
        <v>1467</v>
      </c>
      <c r="C114" s="20" t="s">
        <v>1468</v>
      </c>
      <c r="D114" s="20" t="s">
        <v>1469</v>
      </c>
      <c r="E114" s="20" t="s">
        <v>1470</v>
      </c>
      <c r="F114" s="19" t="s">
        <v>28</v>
      </c>
      <c r="G114" s="20" t="s">
        <v>1483</v>
      </c>
      <c r="H114" s="20" t="s">
        <v>247</v>
      </c>
      <c r="I114" s="19" t="s">
        <v>32</v>
      </c>
      <c r="J114" s="20" t="s">
        <v>1473</v>
      </c>
      <c r="K114" s="17" t="s">
        <v>34</v>
      </c>
      <c r="L114" s="18"/>
      <c r="M114" s="18"/>
      <c r="N114" s="18"/>
      <c r="O114" s="18"/>
    </row>
    <row r="115" customFormat="false" ht="35.05" hidden="false" customHeight="false" outlineLevel="0" collapsed="false">
      <c r="A115" s="15" t="s">
        <v>1484</v>
      </c>
      <c r="B115" s="15" t="s">
        <v>1485</v>
      </c>
      <c r="C115" s="16" t="s">
        <v>1486</v>
      </c>
      <c r="D115" s="16" t="s">
        <v>43</v>
      </c>
      <c r="E115" s="16" t="s">
        <v>1266</v>
      </c>
      <c r="F115" s="15" t="s">
        <v>27</v>
      </c>
      <c r="G115" s="16" t="s">
        <v>1487</v>
      </c>
      <c r="H115" s="16" t="s">
        <v>1488</v>
      </c>
      <c r="I115" s="15" t="s">
        <v>31</v>
      </c>
      <c r="J115" s="16" t="s">
        <v>1489</v>
      </c>
      <c r="K115" s="17" t="s">
        <v>34</v>
      </c>
      <c r="L115" s="18"/>
      <c r="M115" s="18"/>
      <c r="N115" s="18"/>
      <c r="O115" s="18"/>
    </row>
    <row r="116" customFormat="false" ht="35.05" hidden="false" customHeight="false" outlineLevel="0" collapsed="false">
      <c r="A116" s="15" t="s">
        <v>1490</v>
      </c>
      <c r="B116" s="15" t="s">
        <v>1485</v>
      </c>
      <c r="C116" s="16" t="s">
        <v>1486</v>
      </c>
      <c r="D116" s="16" t="s">
        <v>43</v>
      </c>
      <c r="E116" s="16" t="s">
        <v>1266</v>
      </c>
      <c r="F116" s="15" t="s">
        <v>29</v>
      </c>
      <c r="G116" s="16" t="s">
        <v>1491</v>
      </c>
      <c r="H116" s="16" t="s">
        <v>1492</v>
      </c>
      <c r="I116" s="15" t="s">
        <v>33</v>
      </c>
      <c r="J116" s="16" t="s">
        <v>1489</v>
      </c>
      <c r="K116" s="17" t="s">
        <v>34</v>
      </c>
      <c r="L116" s="18"/>
      <c r="M116" s="18"/>
      <c r="N116" s="18"/>
      <c r="O116" s="18"/>
    </row>
    <row r="117" customFormat="false" ht="35.05" hidden="false" customHeight="false" outlineLevel="0" collapsed="false">
      <c r="A117" s="15" t="s">
        <v>1493</v>
      </c>
      <c r="B117" s="15" t="s">
        <v>1485</v>
      </c>
      <c r="C117" s="16" t="s">
        <v>1486</v>
      </c>
      <c r="D117" s="16" t="s">
        <v>43</v>
      </c>
      <c r="E117" s="16" t="s">
        <v>1266</v>
      </c>
      <c r="F117" s="15" t="s">
        <v>29</v>
      </c>
      <c r="G117" s="16" t="s">
        <v>1494</v>
      </c>
      <c r="H117" s="16" t="s">
        <v>1495</v>
      </c>
      <c r="I117" s="15" t="s">
        <v>33</v>
      </c>
      <c r="J117" s="16" t="s">
        <v>1489</v>
      </c>
      <c r="K117" s="17" t="s">
        <v>34</v>
      </c>
      <c r="L117" s="18"/>
      <c r="M117" s="18"/>
      <c r="N117" s="18"/>
      <c r="O117" s="18"/>
    </row>
    <row r="118" customFormat="false" ht="35.05" hidden="false" customHeight="false" outlineLevel="0" collapsed="false">
      <c r="A118" s="15" t="s">
        <v>1496</v>
      </c>
      <c r="B118" s="15" t="s">
        <v>1485</v>
      </c>
      <c r="C118" s="16" t="s">
        <v>1486</v>
      </c>
      <c r="D118" s="16" t="s">
        <v>43</v>
      </c>
      <c r="E118" s="16" t="s">
        <v>1266</v>
      </c>
      <c r="F118" s="15" t="s">
        <v>29</v>
      </c>
      <c r="G118" s="16" t="s">
        <v>1497</v>
      </c>
      <c r="H118" s="16" t="s">
        <v>1498</v>
      </c>
      <c r="I118" s="15" t="s">
        <v>33</v>
      </c>
      <c r="J118" s="16" t="s">
        <v>1489</v>
      </c>
      <c r="K118" s="17" t="s">
        <v>34</v>
      </c>
      <c r="L118" s="18"/>
      <c r="M118" s="18"/>
      <c r="N118" s="18"/>
      <c r="O118" s="18"/>
    </row>
    <row r="119" customFormat="false" ht="35.05" hidden="false" customHeight="false" outlineLevel="0" collapsed="false">
      <c r="A119" s="15" t="s">
        <v>1499</v>
      </c>
      <c r="B119" s="15" t="s">
        <v>1485</v>
      </c>
      <c r="C119" s="16" t="s">
        <v>1486</v>
      </c>
      <c r="D119" s="16" t="s">
        <v>43</v>
      </c>
      <c r="E119" s="16" t="s">
        <v>1266</v>
      </c>
      <c r="F119" s="15" t="s">
        <v>29</v>
      </c>
      <c r="G119" s="16" t="s">
        <v>1500</v>
      </c>
      <c r="H119" s="16" t="s">
        <v>1501</v>
      </c>
      <c r="I119" s="15" t="s">
        <v>32</v>
      </c>
      <c r="J119" s="16" t="s">
        <v>1489</v>
      </c>
      <c r="K119" s="17" t="s">
        <v>34</v>
      </c>
      <c r="L119" s="18"/>
      <c r="M119" s="18"/>
      <c r="N119" s="18"/>
      <c r="O119" s="18"/>
    </row>
  </sheetData>
  <autoFilter ref="A1:O119"/>
  <conditionalFormatting sqref="K2:K319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conditionalFormatting sqref="F2:F319">
    <cfRule type="cellIs" priority="6" operator="equal" aboveAverage="0" equalAverage="0" bottom="0" percent="0" rank="0" text="" dxfId="12">
      <formula>"Security"</formula>
    </cfRule>
    <cfRule type="cellIs" priority="7" operator="equal" aboveAverage="0" equalAverage="0" bottom="0" percent="0" rank="0" text="" dxfId="13">
      <formula>"Negative"</formula>
    </cfRule>
    <cfRule type="cellIs" priority="8" operator="equal" aboveAverage="0" equalAverage="0" bottom="0" percent="0" rank="0" text="" dxfId="14">
      <formula>"Happy"</formula>
    </cfRule>
  </conditionalFormatting>
  <dataValidations count="2">
    <dataValidation allowBlank="true" errorStyle="stop" operator="between" showDropDown="false" showErrorMessage="false" showInputMessage="false" sqref="K2:K319" type="list">
      <formula1>"Not Run,Pass,Fail,Blocked,N/A"</formula1>
      <formula2>0</formula2>
    </dataValidation>
    <dataValidation allowBlank="false" errorStyle="stop" operator="between" showDropDown="false" showErrorMessage="false" showInputMessage="false" sqref="I2:I319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35.05" hidden="false" customHeight="false" outlineLevel="0" collapsed="false">
      <c r="A2" s="15" t="s">
        <v>1502</v>
      </c>
      <c r="B2" s="15" t="s">
        <v>1503</v>
      </c>
      <c r="C2" s="16" t="s">
        <v>1504</v>
      </c>
      <c r="D2" s="16" t="s">
        <v>1505</v>
      </c>
      <c r="E2" s="16" t="s">
        <v>1506</v>
      </c>
      <c r="F2" s="15" t="s">
        <v>27</v>
      </c>
      <c r="G2" s="16" t="s">
        <v>1507</v>
      </c>
      <c r="H2" s="16" t="s">
        <v>1508</v>
      </c>
      <c r="I2" s="15" t="s">
        <v>31</v>
      </c>
      <c r="J2" s="16" t="s">
        <v>1509</v>
      </c>
      <c r="K2" s="17" t="s">
        <v>34</v>
      </c>
      <c r="L2" s="18"/>
      <c r="M2" s="18"/>
      <c r="N2" s="18"/>
      <c r="O2" s="18"/>
    </row>
    <row r="3" customFormat="false" ht="35.05" hidden="false" customHeight="false" outlineLevel="0" collapsed="false">
      <c r="A3" s="15" t="s">
        <v>1510</v>
      </c>
      <c r="B3" s="15" t="s">
        <v>1503</v>
      </c>
      <c r="C3" s="16" t="s">
        <v>1504</v>
      </c>
      <c r="D3" s="16" t="s">
        <v>1505</v>
      </c>
      <c r="E3" s="16" t="s">
        <v>1506</v>
      </c>
      <c r="F3" s="15" t="s">
        <v>30</v>
      </c>
      <c r="G3" s="16" t="s">
        <v>1511</v>
      </c>
      <c r="H3" s="16" t="s">
        <v>1512</v>
      </c>
      <c r="I3" s="15" t="s">
        <v>31</v>
      </c>
      <c r="J3" s="16" t="s">
        <v>1509</v>
      </c>
      <c r="K3" s="17" t="s">
        <v>34</v>
      </c>
      <c r="L3" s="18"/>
      <c r="M3" s="18"/>
      <c r="N3" s="18"/>
      <c r="O3" s="18"/>
    </row>
    <row r="4" customFormat="false" ht="35.05" hidden="false" customHeight="false" outlineLevel="0" collapsed="false">
      <c r="A4" s="15" t="s">
        <v>1513</v>
      </c>
      <c r="B4" s="15" t="s">
        <v>1503</v>
      </c>
      <c r="C4" s="16" t="s">
        <v>1504</v>
      </c>
      <c r="D4" s="16" t="s">
        <v>1505</v>
      </c>
      <c r="E4" s="16" t="s">
        <v>1506</v>
      </c>
      <c r="F4" s="15" t="s">
        <v>29</v>
      </c>
      <c r="G4" s="16" t="s">
        <v>1514</v>
      </c>
      <c r="H4" s="16" t="s">
        <v>1515</v>
      </c>
      <c r="I4" s="15" t="s">
        <v>33</v>
      </c>
      <c r="J4" s="16" t="s">
        <v>1509</v>
      </c>
      <c r="K4" s="17" t="s">
        <v>34</v>
      </c>
      <c r="L4" s="18"/>
      <c r="M4" s="18"/>
      <c r="N4" s="18"/>
      <c r="O4" s="18"/>
    </row>
    <row r="5" customFormat="false" ht="35.05" hidden="false" customHeight="false" outlineLevel="0" collapsed="false">
      <c r="A5" s="15" t="s">
        <v>1516</v>
      </c>
      <c r="B5" s="15" t="s">
        <v>1503</v>
      </c>
      <c r="C5" s="16" t="s">
        <v>1504</v>
      </c>
      <c r="D5" s="16" t="s">
        <v>1505</v>
      </c>
      <c r="E5" s="16" t="s">
        <v>1506</v>
      </c>
      <c r="F5" s="15" t="s">
        <v>28</v>
      </c>
      <c r="G5" s="16" t="s">
        <v>1138</v>
      </c>
      <c r="H5" s="16" t="s">
        <v>1517</v>
      </c>
      <c r="I5" s="15" t="s">
        <v>32</v>
      </c>
      <c r="J5" s="16" t="s">
        <v>1509</v>
      </c>
      <c r="K5" s="17" t="s">
        <v>34</v>
      </c>
      <c r="L5" s="18"/>
      <c r="M5" s="18"/>
      <c r="N5" s="18"/>
      <c r="O5" s="18"/>
    </row>
    <row r="6" customFormat="false" ht="35.05" hidden="false" customHeight="false" outlineLevel="0" collapsed="false">
      <c r="A6" s="15" t="s">
        <v>1518</v>
      </c>
      <c r="B6" s="15" t="s">
        <v>1503</v>
      </c>
      <c r="C6" s="16" t="s">
        <v>1504</v>
      </c>
      <c r="D6" s="16" t="s">
        <v>1505</v>
      </c>
      <c r="E6" s="16" t="s">
        <v>1506</v>
      </c>
      <c r="F6" s="15" t="s">
        <v>27</v>
      </c>
      <c r="G6" s="16" t="s">
        <v>1519</v>
      </c>
      <c r="H6" s="16" t="s">
        <v>1520</v>
      </c>
      <c r="I6" s="15" t="s">
        <v>31</v>
      </c>
      <c r="J6" s="16" t="s">
        <v>1509</v>
      </c>
      <c r="K6" s="17" t="s">
        <v>34</v>
      </c>
      <c r="L6" s="18"/>
      <c r="M6" s="18"/>
      <c r="N6" s="18"/>
      <c r="O6" s="18"/>
    </row>
    <row r="7" customFormat="false" ht="23.85" hidden="false" customHeight="false" outlineLevel="0" collapsed="false">
      <c r="A7" s="19" t="s">
        <v>1521</v>
      </c>
      <c r="B7" s="19" t="s">
        <v>1522</v>
      </c>
      <c r="C7" s="20" t="s">
        <v>1523</v>
      </c>
      <c r="D7" s="20" t="s">
        <v>1505</v>
      </c>
      <c r="E7" s="20" t="s">
        <v>1524</v>
      </c>
      <c r="F7" s="19" t="s">
        <v>27</v>
      </c>
      <c r="G7" s="20" t="s">
        <v>1525</v>
      </c>
      <c r="H7" s="20" t="s">
        <v>1526</v>
      </c>
      <c r="I7" s="19" t="s">
        <v>31</v>
      </c>
      <c r="J7" s="20" t="s">
        <v>1527</v>
      </c>
      <c r="K7" s="17" t="s">
        <v>34</v>
      </c>
      <c r="L7" s="18"/>
      <c r="M7" s="18"/>
      <c r="N7" s="18"/>
      <c r="O7" s="18"/>
    </row>
    <row r="8" customFormat="false" ht="35.05" hidden="false" customHeight="false" outlineLevel="0" collapsed="false">
      <c r="A8" s="15" t="s">
        <v>1528</v>
      </c>
      <c r="B8" s="15" t="s">
        <v>1529</v>
      </c>
      <c r="C8" s="16" t="s">
        <v>1530</v>
      </c>
      <c r="D8" s="16" t="s">
        <v>70</v>
      </c>
      <c r="E8" s="16" t="s">
        <v>1531</v>
      </c>
      <c r="F8" s="15" t="s">
        <v>28</v>
      </c>
      <c r="G8" s="16" t="s">
        <v>1532</v>
      </c>
      <c r="H8" s="16" t="s">
        <v>1533</v>
      </c>
      <c r="I8" s="15" t="s">
        <v>32</v>
      </c>
      <c r="J8" s="16" t="s">
        <v>1534</v>
      </c>
      <c r="K8" s="17" t="s">
        <v>34</v>
      </c>
      <c r="L8" s="18"/>
      <c r="M8" s="18"/>
      <c r="N8" s="18"/>
      <c r="O8" s="18"/>
    </row>
    <row r="9" customFormat="false" ht="35.05" hidden="false" customHeight="false" outlineLevel="0" collapsed="false">
      <c r="A9" s="15" t="s">
        <v>1535</v>
      </c>
      <c r="B9" s="15" t="s">
        <v>1529</v>
      </c>
      <c r="C9" s="16" t="s">
        <v>1530</v>
      </c>
      <c r="D9" s="16" t="s">
        <v>70</v>
      </c>
      <c r="E9" s="16" t="s">
        <v>1531</v>
      </c>
      <c r="F9" s="15" t="s">
        <v>28</v>
      </c>
      <c r="G9" s="16" t="s">
        <v>1536</v>
      </c>
      <c r="H9" s="16" t="s">
        <v>1537</v>
      </c>
      <c r="I9" s="15" t="s">
        <v>32</v>
      </c>
      <c r="J9" s="16" t="s">
        <v>1534</v>
      </c>
      <c r="K9" s="17" t="s">
        <v>34</v>
      </c>
      <c r="L9" s="18"/>
      <c r="M9" s="18"/>
      <c r="N9" s="18"/>
      <c r="O9" s="18"/>
    </row>
    <row r="10" customFormat="false" ht="35.05" hidden="false" customHeight="false" outlineLevel="0" collapsed="false">
      <c r="A10" s="15" t="s">
        <v>1538</v>
      </c>
      <c r="B10" s="15" t="s">
        <v>1529</v>
      </c>
      <c r="C10" s="16" t="s">
        <v>1530</v>
      </c>
      <c r="D10" s="16" t="s">
        <v>70</v>
      </c>
      <c r="E10" s="16" t="s">
        <v>1531</v>
      </c>
      <c r="F10" s="15" t="s">
        <v>28</v>
      </c>
      <c r="G10" s="16" t="s">
        <v>1539</v>
      </c>
      <c r="H10" s="16" t="s">
        <v>1540</v>
      </c>
      <c r="I10" s="15" t="s">
        <v>32</v>
      </c>
      <c r="J10" s="16" t="s">
        <v>1534</v>
      </c>
      <c r="K10" s="17" t="s">
        <v>34</v>
      </c>
      <c r="L10" s="18"/>
      <c r="M10" s="18"/>
      <c r="N10" s="18"/>
      <c r="O10" s="18"/>
    </row>
    <row r="11" customFormat="false" ht="15" hidden="false" customHeight="false" outlineLevel="0" collapsed="false">
      <c r="A11" s="19" t="s">
        <v>1541</v>
      </c>
      <c r="B11" s="19" t="s">
        <v>1542</v>
      </c>
      <c r="C11" s="20" t="s">
        <v>1543</v>
      </c>
      <c r="D11" s="20" t="s">
        <v>1544</v>
      </c>
      <c r="E11" s="20" t="s">
        <v>1545</v>
      </c>
      <c r="F11" s="19" t="s">
        <v>29</v>
      </c>
      <c r="G11" s="20" t="s">
        <v>1546</v>
      </c>
      <c r="H11" s="20" t="s">
        <v>1547</v>
      </c>
      <c r="I11" s="19" t="s">
        <v>33</v>
      </c>
      <c r="J11" s="20" t="s">
        <v>1527</v>
      </c>
      <c r="K11" s="17" t="s">
        <v>34</v>
      </c>
      <c r="L11" s="18"/>
      <c r="M11" s="18"/>
      <c r="N11" s="18"/>
      <c r="O11" s="18"/>
    </row>
    <row r="12" customFormat="false" ht="23.85" hidden="false" customHeight="false" outlineLevel="0" collapsed="false">
      <c r="A12" s="19" t="s">
        <v>1548</v>
      </c>
      <c r="B12" s="19" t="s">
        <v>1542</v>
      </c>
      <c r="C12" s="20" t="s">
        <v>1543</v>
      </c>
      <c r="D12" s="20" t="s">
        <v>1544</v>
      </c>
      <c r="E12" s="20" t="s">
        <v>1545</v>
      </c>
      <c r="F12" s="19" t="s">
        <v>29</v>
      </c>
      <c r="G12" s="20" t="s">
        <v>1549</v>
      </c>
      <c r="H12" s="20" t="s">
        <v>1550</v>
      </c>
      <c r="I12" s="19" t="s">
        <v>31</v>
      </c>
      <c r="J12" s="20" t="s">
        <v>1527</v>
      </c>
      <c r="K12" s="17" t="s">
        <v>34</v>
      </c>
      <c r="L12" s="18"/>
      <c r="M12" s="18"/>
      <c r="N12" s="18"/>
      <c r="O12" s="18"/>
    </row>
    <row r="13" customFormat="false" ht="15" hidden="false" customHeight="false" outlineLevel="0" collapsed="false">
      <c r="A13" s="19" t="s">
        <v>1551</v>
      </c>
      <c r="B13" s="19" t="s">
        <v>1542</v>
      </c>
      <c r="C13" s="20" t="s">
        <v>1543</v>
      </c>
      <c r="D13" s="20" t="s">
        <v>1544</v>
      </c>
      <c r="E13" s="20" t="s">
        <v>1545</v>
      </c>
      <c r="F13" s="19" t="s">
        <v>29</v>
      </c>
      <c r="G13" s="20" t="s">
        <v>1552</v>
      </c>
      <c r="H13" s="20" t="s">
        <v>1553</v>
      </c>
      <c r="I13" s="19" t="s">
        <v>33</v>
      </c>
      <c r="J13" s="20" t="s">
        <v>1527</v>
      </c>
      <c r="K13" s="17" t="s">
        <v>34</v>
      </c>
      <c r="L13" s="18"/>
      <c r="M13" s="18"/>
      <c r="N13" s="18"/>
      <c r="O13" s="18"/>
    </row>
    <row r="14" customFormat="false" ht="23.85" hidden="false" customHeight="false" outlineLevel="0" collapsed="false">
      <c r="A14" s="15" t="s">
        <v>1554</v>
      </c>
      <c r="B14" s="15" t="s">
        <v>1555</v>
      </c>
      <c r="C14" s="16" t="s">
        <v>1556</v>
      </c>
      <c r="D14" s="16" t="s">
        <v>1557</v>
      </c>
      <c r="E14" s="16" t="s">
        <v>1531</v>
      </c>
      <c r="F14" s="15" t="s">
        <v>30</v>
      </c>
      <c r="G14" s="16" t="s">
        <v>1558</v>
      </c>
      <c r="H14" s="16" t="s">
        <v>1559</v>
      </c>
      <c r="I14" s="15" t="s">
        <v>31</v>
      </c>
      <c r="J14" s="16" t="s">
        <v>1527</v>
      </c>
      <c r="K14" s="17" t="s">
        <v>34</v>
      </c>
      <c r="L14" s="18"/>
      <c r="M14" s="18"/>
      <c r="N14" s="18"/>
      <c r="O14" s="18"/>
    </row>
    <row r="15" customFormat="false" ht="23.85" hidden="false" customHeight="false" outlineLevel="0" collapsed="false">
      <c r="A15" s="15" t="s">
        <v>1560</v>
      </c>
      <c r="B15" s="15" t="s">
        <v>1555</v>
      </c>
      <c r="C15" s="16" t="s">
        <v>1556</v>
      </c>
      <c r="D15" s="16" t="s">
        <v>1557</v>
      </c>
      <c r="E15" s="16" t="s">
        <v>1531</v>
      </c>
      <c r="F15" s="15" t="s">
        <v>30</v>
      </c>
      <c r="G15" s="16" t="s">
        <v>1561</v>
      </c>
      <c r="H15" s="16" t="s">
        <v>1562</v>
      </c>
      <c r="I15" s="15" t="s">
        <v>31</v>
      </c>
      <c r="J15" s="16" t="s">
        <v>1527</v>
      </c>
      <c r="K15" s="17" t="s">
        <v>34</v>
      </c>
      <c r="L15" s="18"/>
      <c r="M15" s="18"/>
      <c r="N15" s="18"/>
      <c r="O15" s="18"/>
    </row>
    <row r="16" customFormat="false" ht="15" hidden="false" customHeight="false" outlineLevel="0" collapsed="false">
      <c r="A16" s="19" t="s">
        <v>1563</v>
      </c>
      <c r="B16" s="19" t="s">
        <v>1564</v>
      </c>
      <c r="C16" s="20" t="s">
        <v>1565</v>
      </c>
      <c r="D16" s="20" t="s">
        <v>1544</v>
      </c>
      <c r="E16" s="20" t="s">
        <v>1531</v>
      </c>
      <c r="F16" s="19" t="s">
        <v>28</v>
      </c>
      <c r="G16" s="20" t="s">
        <v>1566</v>
      </c>
      <c r="H16" s="20" t="s">
        <v>1567</v>
      </c>
      <c r="I16" s="19" t="s">
        <v>32</v>
      </c>
      <c r="J16" s="20" t="s">
        <v>1527</v>
      </c>
      <c r="K16" s="17" t="s">
        <v>34</v>
      </c>
      <c r="L16" s="18"/>
      <c r="M16" s="18"/>
      <c r="N16" s="18"/>
      <c r="O16" s="18"/>
    </row>
    <row r="17" customFormat="false" ht="23.85" hidden="false" customHeight="false" outlineLevel="0" collapsed="false">
      <c r="A17" s="15" t="s">
        <v>1568</v>
      </c>
      <c r="B17" s="15" t="s">
        <v>1569</v>
      </c>
      <c r="C17" s="16" t="s">
        <v>1570</v>
      </c>
      <c r="D17" s="16" t="s">
        <v>1544</v>
      </c>
      <c r="E17" s="16" t="s">
        <v>1531</v>
      </c>
      <c r="F17" s="15" t="s">
        <v>28</v>
      </c>
      <c r="G17" s="16" t="s">
        <v>1571</v>
      </c>
      <c r="H17" s="16" t="s">
        <v>1572</v>
      </c>
      <c r="I17" s="15" t="s">
        <v>32</v>
      </c>
      <c r="J17" s="16" t="s">
        <v>1527</v>
      </c>
      <c r="K17" s="17" t="s">
        <v>34</v>
      </c>
      <c r="L17" s="18"/>
      <c r="M17" s="18"/>
      <c r="N17" s="18"/>
      <c r="O17" s="18"/>
    </row>
    <row r="18" customFormat="false" ht="15" hidden="false" customHeight="false" outlineLevel="0" collapsed="false">
      <c r="A18" s="15" t="s">
        <v>1573</v>
      </c>
      <c r="B18" s="15" t="s">
        <v>1569</v>
      </c>
      <c r="C18" s="16" t="s">
        <v>1570</v>
      </c>
      <c r="D18" s="16" t="s">
        <v>1544</v>
      </c>
      <c r="E18" s="16" t="s">
        <v>1531</v>
      </c>
      <c r="F18" s="15" t="s">
        <v>28</v>
      </c>
      <c r="G18" s="16" t="s">
        <v>1574</v>
      </c>
      <c r="H18" s="16" t="s">
        <v>1575</v>
      </c>
      <c r="I18" s="15" t="s">
        <v>32</v>
      </c>
      <c r="J18" s="16" t="s">
        <v>1527</v>
      </c>
      <c r="K18" s="17" t="s">
        <v>34</v>
      </c>
      <c r="L18" s="18"/>
      <c r="M18" s="18"/>
      <c r="N18" s="18"/>
      <c r="O18" s="18"/>
    </row>
    <row r="19" customFormat="false" ht="23.85" hidden="false" customHeight="false" outlineLevel="0" collapsed="false">
      <c r="A19" s="15" t="s">
        <v>1576</v>
      </c>
      <c r="B19" s="15" t="s">
        <v>1569</v>
      </c>
      <c r="C19" s="16" t="s">
        <v>1570</v>
      </c>
      <c r="D19" s="16" t="s">
        <v>1544</v>
      </c>
      <c r="E19" s="16" t="s">
        <v>1531</v>
      </c>
      <c r="F19" s="15" t="s">
        <v>29</v>
      </c>
      <c r="G19" s="16" t="s">
        <v>1577</v>
      </c>
      <c r="H19" s="16" t="s">
        <v>1578</v>
      </c>
      <c r="I19" s="15" t="s">
        <v>31</v>
      </c>
      <c r="J19" s="16" t="s">
        <v>1527</v>
      </c>
      <c r="K19" s="17" t="s">
        <v>34</v>
      </c>
      <c r="L19" s="18"/>
      <c r="M19" s="18"/>
      <c r="N19" s="18"/>
      <c r="O19" s="18"/>
    </row>
    <row r="20" customFormat="false" ht="15" hidden="false" customHeight="false" outlineLevel="0" collapsed="false">
      <c r="A20" s="15" t="s">
        <v>1579</v>
      </c>
      <c r="B20" s="15" t="s">
        <v>1569</v>
      </c>
      <c r="C20" s="16" t="s">
        <v>1570</v>
      </c>
      <c r="D20" s="16" t="s">
        <v>1544</v>
      </c>
      <c r="E20" s="16" t="s">
        <v>1531</v>
      </c>
      <c r="F20" s="15" t="s">
        <v>29</v>
      </c>
      <c r="G20" s="16" t="s">
        <v>1580</v>
      </c>
      <c r="H20" s="16" t="s">
        <v>1581</v>
      </c>
      <c r="I20" s="15" t="s">
        <v>33</v>
      </c>
      <c r="J20" s="16" t="s">
        <v>1527</v>
      </c>
      <c r="K20" s="17" t="s">
        <v>34</v>
      </c>
      <c r="L20" s="18"/>
      <c r="M20" s="18"/>
      <c r="N20" s="18"/>
      <c r="O20" s="18"/>
    </row>
    <row r="21" customFormat="false" ht="23.85" hidden="false" customHeight="false" outlineLevel="0" collapsed="false">
      <c r="A21" s="19" t="s">
        <v>1582</v>
      </c>
      <c r="B21" s="19" t="s">
        <v>1583</v>
      </c>
      <c r="C21" s="20" t="s">
        <v>1584</v>
      </c>
      <c r="D21" s="20" t="s">
        <v>1544</v>
      </c>
      <c r="E21" s="20" t="s">
        <v>1531</v>
      </c>
      <c r="F21" s="19" t="s">
        <v>30</v>
      </c>
      <c r="G21" s="20" t="s">
        <v>1585</v>
      </c>
      <c r="H21" s="20" t="s">
        <v>1586</v>
      </c>
      <c r="I21" s="19" t="s">
        <v>31</v>
      </c>
      <c r="J21" s="20" t="s">
        <v>1587</v>
      </c>
      <c r="K21" s="17" t="s">
        <v>34</v>
      </c>
      <c r="L21" s="18"/>
      <c r="M21" s="18"/>
      <c r="N21" s="18"/>
      <c r="O21" s="18"/>
    </row>
    <row r="22" customFormat="false" ht="23.85" hidden="false" customHeight="false" outlineLevel="0" collapsed="false">
      <c r="A22" s="19" t="s">
        <v>1588</v>
      </c>
      <c r="B22" s="19" t="s">
        <v>1583</v>
      </c>
      <c r="C22" s="20" t="s">
        <v>1584</v>
      </c>
      <c r="D22" s="20" t="s">
        <v>1544</v>
      </c>
      <c r="E22" s="20" t="s">
        <v>1531</v>
      </c>
      <c r="F22" s="19" t="s">
        <v>30</v>
      </c>
      <c r="G22" s="20" t="s">
        <v>1589</v>
      </c>
      <c r="H22" s="20" t="s">
        <v>1590</v>
      </c>
      <c r="I22" s="19" t="s">
        <v>31</v>
      </c>
      <c r="J22" s="20" t="s">
        <v>1587</v>
      </c>
      <c r="K22" s="17" t="s">
        <v>34</v>
      </c>
      <c r="L22" s="18"/>
      <c r="M22" s="18"/>
      <c r="N22" s="18"/>
      <c r="O22" s="18"/>
    </row>
    <row r="23" customFormat="false" ht="23.85" hidden="false" customHeight="false" outlineLevel="0" collapsed="false">
      <c r="A23" s="19" t="s">
        <v>1591</v>
      </c>
      <c r="B23" s="19" t="s">
        <v>1583</v>
      </c>
      <c r="C23" s="20" t="s">
        <v>1584</v>
      </c>
      <c r="D23" s="20" t="s">
        <v>1544</v>
      </c>
      <c r="E23" s="20" t="s">
        <v>1531</v>
      </c>
      <c r="F23" s="19" t="s">
        <v>29</v>
      </c>
      <c r="G23" s="20" t="s">
        <v>1592</v>
      </c>
      <c r="H23" s="20" t="s">
        <v>1593</v>
      </c>
      <c r="I23" s="19" t="s">
        <v>33</v>
      </c>
      <c r="J23" s="20" t="s">
        <v>1587</v>
      </c>
      <c r="K23" s="17" t="s">
        <v>34</v>
      </c>
      <c r="L23" s="18"/>
      <c r="M23" s="18"/>
      <c r="N23" s="18"/>
      <c r="O23" s="18"/>
    </row>
    <row r="24" customFormat="false" ht="23.85" hidden="false" customHeight="false" outlineLevel="0" collapsed="false">
      <c r="A24" s="19" t="s">
        <v>1594</v>
      </c>
      <c r="B24" s="19" t="s">
        <v>1583</v>
      </c>
      <c r="C24" s="20" t="s">
        <v>1584</v>
      </c>
      <c r="D24" s="20" t="s">
        <v>1544</v>
      </c>
      <c r="E24" s="20" t="s">
        <v>1531</v>
      </c>
      <c r="F24" s="19" t="s">
        <v>29</v>
      </c>
      <c r="G24" s="20" t="s">
        <v>1595</v>
      </c>
      <c r="H24" s="20" t="s">
        <v>1596</v>
      </c>
      <c r="I24" s="19" t="s">
        <v>31</v>
      </c>
      <c r="J24" s="20" t="s">
        <v>1587</v>
      </c>
      <c r="K24" s="17" t="s">
        <v>34</v>
      </c>
      <c r="L24" s="18"/>
      <c r="M24" s="18"/>
      <c r="N24" s="18"/>
      <c r="O24" s="18"/>
    </row>
    <row r="25" customFormat="false" ht="23.85" hidden="false" customHeight="false" outlineLevel="0" collapsed="false">
      <c r="A25" s="19" t="s">
        <v>1597</v>
      </c>
      <c r="B25" s="19" t="s">
        <v>1583</v>
      </c>
      <c r="C25" s="20" t="s">
        <v>1584</v>
      </c>
      <c r="D25" s="20" t="s">
        <v>1544</v>
      </c>
      <c r="E25" s="20" t="s">
        <v>1531</v>
      </c>
      <c r="F25" s="19" t="s">
        <v>28</v>
      </c>
      <c r="G25" s="20" t="s">
        <v>1598</v>
      </c>
      <c r="H25" s="20" t="s">
        <v>1599</v>
      </c>
      <c r="I25" s="19" t="s">
        <v>32</v>
      </c>
      <c r="J25" s="20" t="s">
        <v>1587</v>
      </c>
      <c r="K25" s="17" t="s">
        <v>34</v>
      </c>
      <c r="L25" s="18"/>
      <c r="M25" s="18"/>
      <c r="N25" s="18"/>
      <c r="O25" s="18"/>
    </row>
    <row r="26" customFormat="false" ht="23.85" hidden="false" customHeight="false" outlineLevel="0" collapsed="false">
      <c r="A26" s="19" t="s">
        <v>1600</v>
      </c>
      <c r="B26" s="19" t="s">
        <v>1583</v>
      </c>
      <c r="C26" s="20" t="s">
        <v>1584</v>
      </c>
      <c r="D26" s="20" t="s">
        <v>1544</v>
      </c>
      <c r="E26" s="20" t="s">
        <v>1531</v>
      </c>
      <c r="F26" s="19" t="s">
        <v>30</v>
      </c>
      <c r="G26" s="20" t="s">
        <v>1601</v>
      </c>
      <c r="H26" s="20" t="s">
        <v>1602</v>
      </c>
      <c r="I26" s="19" t="s">
        <v>31</v>
      </c>
      <c r="J26" s="20" t="s">
        <v>1587</v>
      </c>
      <c r="K26" s="17" t="s">
        <v>34</v>
      </c>
      <c r="L26" s="18"/>
      <c r="M26" s="18"/>
      <c r="N26" s="18"/>
      <c r="O26" s="18"/>
    </row>
  </sheetData>
  <autoFilter ref="A1:O26"/>
  <conditionalFormatting sqref="K2:K226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conditionalFormatting sqref="F2:F226">
    <cfRule type="cellIs" priority="6" operator="equal" aboveAverage="0" equalAverage="0" bottom="0" percent="0" rank="0" text="" dxfId="12">
      <formula>"Security"</formula>
    </cfRule>
    <cfRule type="cellIs" priority="7" operator="equal" aboveAverage="0" equalAverage="0" bottom="0" percent="0" rank="0" text="" dxfId="13">
      <formula>"Negative"</formula>
    </cfRule>
    <cfRule type="cellIs" priority="8" operator="equal" aboveAverage="0" equalAverage="0" bottom="0" percent="0" rank="0" text="" dxfId="14">
      <formula>"Happy"</formula>
    </cfRule>
  </conditionalFormatting>
  <dataValidations count="2">
    <dataValidation allowBlank="true" errorStyle="stop" operator="between" showDropDown="false" showErrorMessage="false" showInputMessage="false" sqref="K2:K226" type="list">
      <formula1>"Not Run,Pass,Fail,Blocked,N/A"</formula1>
      <formula2>0</formula2>
    </dataValidation>
    <dataValidation allowBlank="false" errorStyle="stop" operator="between" showDropDown="false" showErrorMessage="false" showInputMessage="false" sqref="I2:I226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</row>
    <row r="2" customFormat="false" ht="23.85" hidden="false" customHeight="false" outlineLevel="0" collapsed="false">
      <c r="A2" s="15" t="s">
        <v>1603</v>
      </c>
      <c r="B2" s="15" t="s">
        <v>1604</v>
      </c>
      <c r="C2" s="16" t="s">
        <v>1605</v>
      </c>
      <c r="D2" s="16" t="s">
        <v>1606</v>
      </c>
      <c r="E2" s="16" t="s">
        <v>1531</v>
      </c>
      <c r="F2" s="15" t="s">
        <v>30</v>
      </c>
      <c r="G2" s="16" t="s">
        <v>1607</v>
      </c>
      <c r="H2" s="16" t="s">
        <v>88</v>
      </c>
      <c r="I2" s="15" t="s">
        <v>31</v>
      </c>
      <c r="J2" s="16" t="s">
        <v>1608</v>
      </c>
      <c r="K2" s="17" t="s">
        <v>34</v>
      </c>
      <c r="L2" s="18"/>
      <c r="M2" s="18"/>
      <c r="N2" s="18"/>
      <c r="O2" s="18"/>
    </row>
    <row r="3" customFormat="false" ht="23.85" hidden="false" customHeight="false" outlineLevel="0" collapsed="false">
      <c r="A3" s="15" t="s">
        <v>1609</v>
      </c>
      <c r="B3" s="15" t="s">
        <v>1604</v>
      </c>
      <c r="C3" s="16" t="s">
        <v>1605</v>
      </c>
      <c r="D3" s="16" t="s">
        <v>1606</v>
      </c>
      <c r="E3" s="16" t="s">
        <v>1531</v>
      </c>
      <c r="F3" s="15" t="s">
        <v>30</v>
      </c>
      <c r="G3" s="16" t="s">
        <v>1610</v>
      </c>
      <c r="H3" s="16" t="s">
        <v>1611</v>
      </c>
      <c r="I3" s="15" t="s">
        <v>31</v>
      </c>
      <c r="J3" s="16" t="s">
        <v>1608</v>
      </c>
      <c r="K3" s="17" t="s">
        <v>34</v>
      </c>
      <c r="L3" s="18"/>
      <c r="M3" s="18"/>
      <c r="N3" s="18"/>
      <c r="O3" s="18"/>
    </row>
    <row r="4" customFormat="false" ht="23.85" hidden="false" customHeight="false" outlineLevel="0" collapsed="false">
      <c r="A4" s="15" t="s">
        <v>1612</v>
      </c>
      <c r="B4" s="15" t="s">
        <v>1604</v>
      </c>
      <c r="C4" s="16" t="s">
        <v>1605</v>
      </c>
      <c r="D4" s="16" t="s">
        <v>1606</v>
      </c>
      <c r="E4" s="16" t="s">
        <v>1531</v>
      </c>
      <c r="F4" s="15" t="s">
        <v>30</v>
      </c>
      <c r="G4" s="16" t="s">
        <v>1613</v>
      </c>
      <c r="H4" s="16" t="s">
        <v>1614</v>
      </c>
      <c r="I4" s="15" t="s">
        <v>31</v>
      </c>
      <c r="J4" s="16" t="s">
        <v>1608</v>
      </c>
      <c r="K4" s="17" t="s">
        <v>34</v>
      </c>
      <c r="L4" s="18"/>
      <c r="M4" s="18"/>
      <c r="N4" s="18"/>
      <c r="O4" s="18"/>
    </row>
    <row r="5" customFormat="false" ht="23.85" hidden="false" customHeight="false" outlineLevel="0" collapsed="false">
      <c r="A5" s="15" t="s">
        <v>1615</v>
      </c>
      <c r="B5" s="15" t="s">
        <v>1604</v>
      </c>
      <c r="C5" s="16" t="s">
        <v>1605</v>
      </c>
      <c r="D5" s="16" t="s">
        <v>1606</v>
      </c>
      <c r="E5" s="16" t="s">
        <v>1531</v>
      </c>
      <c r="F5" s="15" t="s">
        <v>30</v>
      </c>
      <c r="G5" s="16" t="s">
        <v>1616</v>
      </c>
      <c r="H5" s="16" t="s">
        <v>1617</v>
      </c>
      <c r="I5" s="15" t="s">
        <v>31</v>
      </c>
      <c r="J5" s="16" t="s">
        <v>1608</v>
      </c>
      <c r="K5" s="17" t="s">
        <v>34</v>
      </c>
      <c r="L5" s="18"/>
      <c r="M5" s="18"/>
      <c r="N5" s="18"/>
      <c r="O5" s="18"/>
    </row>
    <row r="6" customFormat="false" ht="23.85" hidden="false" customHeight="false" outlineLevel="0" collapsed="false">
      <c r="A6" s="19" t="s">
        <v>1618</v>
      </c>
      <c r="B6" s="19" t="s">
        <v>1619</v>
      </c>
      <c r="C6" s="20" t="s">
        <v>1620</v>
      </c>
      <c r="D6" s="20" t="s">
        <v>1621</v>
      </c>
      <c r="E6" s="20" t="s">
        <v>1622</v>
      </c>
      <c r="F6" s="19" t="s">
        <v>30</v>
      </c>
      <c r="G6" s="20" t="s">
        <v>1623</v>
      </c>
      <c r="H6" s="20" t="s">
        <v>1624</v>
      </c>
      <c r="I6" s="19" t="s">
        <v>31</v>
      </c>
      <c r="J6" s="20" t="s">
        <v>1625</v>
      </c>
      <c r="K6" s="17" t="s">
        <v>34</v>
      </c>
      <c r="L6" s="18"/>
      <c r="M6" s="18"/>
      <c r="N6" s="18"/>
      <c r="O6" s="18"/>
    </row>
    <row r="7" customFormat="false" ht="23.85" hidden="false" customHeight="false" outlineLevel="0" collapsed="false">
      <c r="A7" s="19" t="s">
        <v>1626</v>
      </c>
      <c r="B7" s="19" t="s">
        <v>1619</v>
      </c>
      <c r="C7" s="20" t="s">
        <v>1620</v>
      </c>
      <c r="D7" s="20" t="s">
        <v>1621</v>
      </c>
      <c r="E7" s="20" t="s">
        <v>1622</v>
      </c>
      <c r="F7" s="19" t="s">
        <v>30</v>
      </c>
      <c r="G7" s="20" t="s">
        <v>1627</v>
      </c>
      <c r="H7" s="20" t="s">
        <v>1628</v>
      </c>
      <c r="I7" s="19" t="s">
        <v>31</v>
      </c>
      <c r="J7" s="20" t="s">
        <v>1625</v>
      </c>
      <c r="K7" s="17" t="s">
        <v>34</v>
      </c>
      <c r="L7" s="18"/>
      <c r="M7" s="18"/>
      <c r="N7" s="18"/>
      <c r="O7" s="18"/>
    </row>
    <row r="8" customFormat="false" ht="23.85" hidden="false" customHeight="false" outlineLevel="0" collapsed="false">
      <c r="A8" s="19" t="s">
        <v>1629</v>
      </c>
      <c r="B8" s="19" t="s">
        <v>1619</v>
      </c>
      <c r="C8" s="20" t="s">
        <v>1620</v>
      </c>
      <c r="D8" s="20" t="s">
        <v>1621</v>
      </c>
      <c r="E8" s="20" t="s">
        <v>1622</v>
      </c>
      <c r="F8" s="19" t="s">
        <v>30</v>
      </c>
      <c r="G8" s="20" t="s">
        <v>1630</v>
      </c>
      <c r="H8" s="20" t="s">
        <v>1631</v>
      </c>
      <c r="I8" s="19" t="s">
        <v>31</v>
      </c>
      <c r="J8" s="20" t="s">
        <v>1625</v>
      </c>
      <c r="K8" s="17" t="s">
        <v>34</v>
      </c>
      <c r="L8" s="18"/>
      <c r="M8" s="18"/>
      <c r="N8" s="18"/>
      <c r="O8" s="18"/>
    </row>
    <row r="9" customFormat="false" ht="23.85" hidden="false" customHeight="false" outlineLevel="0" collapsed="false">
      <c r="A9" s="15" t="s">
        <v>1632</v>
      </c>
      <c r="B9" s="15" t="s">
        <v>1633</v>
      </c>
      <c r="C9" s="16" t="s">
        <v>1634</v>
      </c>
      <c r="D9" s="16" t="s">
        <v>1635</v>
      </c>
      <c r="E9" s="16" t="s">
        <v>1636</v>
      </c>
      <c r="F9" s="15" t="s">
        <v>30</v>
      </c>
      <c r="G9" s="16" t="s">
        <v>1637</v>
      </c>
      <c r="H9" s="16" t="s">
        <v>1638</v>
      </c>
      <c r="I9" s="15" t="s">
        <v>31</v>
      </c>
      <c r="J9" s="16" t="s">
        <v>1639</v>
      </c>
      <c r="K9" s="17" t="s">
        <v>34</v>
      </c>
      <c r="L9" s="18"/>
      <c r="M9" s="18"/>
      <c r="N9" s="18"/>
      <c r="O9" s="18"/>
    </row>
    <row r="10" customFormat="false" ht="23.85" hidden="false" customHeight="false" outlineLevel="0" collapsed="false">
      <c r="A10" s="15" t="s">
        <v>1640</v>
      </c>
      <c r="B10" s="15" t="s">
        <v>1633</v>
      </c>
      <c r="C10" s="16" t="s">
        <v>1634</v>
      </c>
      <c r="D10" s="16" t="s">
        <v>1635</v>
      </c>
      <c r="E10" s="16" t="s">
        <v>1636</v>
      </c>
      <c r="F10" s="15" t="s">
        <v>30</v>
      </c>
      <c r="G10" s="16" t="s">
        <v>1641</v>
      </c>
      <c r="H10" s="16" t="s">
        <v>1638</v>
      </c>
      <c r="I10" s="15" t="s">
        <v>31</v>
      </c>
      <c r="J10" s="16" t="s">
        <v>1639</v>
      </c>
      <c r="K10" s="17" t="s">
        <v>34</v>
      </c>
      <c r="L10" s="18"/>
      <c r="M10" s="18"/>
      <c r="N10" s="18"/>
      <c r="O10" s="18"/>
    </row>
    <row r="11" customFormat="false" ht="23.85" hidden="false" customHeight="false" outlineLevel="0" collapsed="false">
      <c r="A11" s="15" t="s">
        <v>1642</v>
      </c>
      <c r="B11" s="15" t="s">
        <v>1633</v>
      </c>
      <c r="C11" s="16" t="s">
        <v>1634</v>
      </c>
      <c r="D11" s="16" t="s">
        <v>1635</v>
      </c>
      <c r="E11" s="16" t="s">
        <v>1636</v>
      </c>
      <c r="F11" s="15" t="s">
        <v>30</v>
      </c>
      <c r="G11" s="16" t="s">
        <v>1643</v>
      </c>
      <c r="H11" s="16" t="s">
        <v>1631</v>
      </c>
      <c r="I11" s="15" t="s">
        <v>31</v>
      </c>
      <c r="J11" s="16" t="s">
        <v>1639</v>
      </c>
      <c r="K11" s="17" t="s">
        <v>34</v>
      </c>
      <c r="L11" s="18"/>
      <c r="M11" s="18"/>
      <c r="N11" s="18"/>
      <c r="O11" s="18"/>
    </row>
    <row r="12" customFormat="false" ht="23.85" hidden="false" customHeight="false" outlineLevel="0" collapsed="false">
      <c r="A12" s="15" t="s">
        <v>1644</v>
      </c>
      <c r="B12" s="15" t="s">
        <v>1633</v>
      </c>
      <c r="C12" s="16" t="s">
        <v>1634</v>
      </c>
      <c r="D12" s="16" t="s">
        <v>1635</v>
      </c>
      <c r="E12" s="16" t="s">
        <v>1636</v>
      </c>
      <c r="F12" s="15" t="s">
        <v>30</v>
      </c>
      <c r="G12" s="16" t="s">
        <v>1645</v>
      </c>
      <c r="H12" s="16" t="s">
        <v>1646</v>
      </c>
      <c r="I12" s="15" t="s">
        <v>31</v>
      </c>
      <c r="J12" s="16" t="s">
        <v>1639</v>
      </c>
      <c r="K12" s="17" t="s">
        <v>34</v>
      </c>
      <c r="L12" s="18"/>
      <c r="M12" s="18"/>
      <c r="N12" s="18"/>
      <c r="O12" s="18"/>
    </row>
    <row r="13" customFormat="false" ht="23.85" hidden="false" customHeight="false" outlineLevel="0" collapsed="false">
      <c r="A13" s="15" t="s">
        <v>1647</v>
      </c>
      <c r="B13" s="15" t="s">
        <v>1633</v>
      </c>
      <c r="C13" s="16" t="s">
        <v>1634</v>
      </c>
      <c r="D13" s="16" t="s">
        <v>1635</v>
      </c>
      <c r="E13" s="16" t="s">
        <v>1636</v>
      </c>
      <c r="F13" s="15" t="s">
        <v>30</v>
      </c>
      <c r="G13" s="16" t="s">
        <v>1648</v>
      </c>
      <c r="H13" s="16" t="s">
        <v>1649</v>
      </c>
      <c r="I13" s="15" t="s">
        <v>31</v>
      </c>
      <c r="J13" s="16" t="s">
        <v>1639</v>
      </c>
      <c r="K13" s="17" t="s">
        <v>34</v>
      </c>
      <c r="L13" s="18"/>
      <c r="M13" s="18"/>
      <c r="N13" s="18"/>
      <c r="O13" s="18"/>
    </row>
    <row r="14" customFormat="false" ht="35.05" hidden="false" customHeight="false" outlineLevel="0" collapsed="false">
      <c r="A14" s="19" t="s">
        <v>1650</v>
      </c>
      <c r="B14" s="19" t="s">
        <v>1651</v>
      </c>
      <c r="C14" s="20" t="s">
        <v>1652</v>
      </c>
      <c r="D14" s="20" t="s">
        <v>1606</v>
      </c>
      <c r="E14" s="20" t="s">
        <v>1531</v>
      </c>
      <c r="F14" s="19" t="s">
        <v>28</v>
      </c>
      <c r="G14" s="20" t="s">
        <v>1653</v>
      </c>
      <c r="H14" s="20" t="s">
        <v>1654</v>
      </c>
      <c r="I14" s="19" t="s">
        <v>32</v>
      </c>
      <c r="J14" s="20" t="s">
        <v>1655</v>
      </c>
      <c r="K14" s="17" t="s">
        <v>34</v>
      </c>
      <c r="L14" s="18"/>
      <c r="M14" s="18"/>
      <c r="N14" s="18"/>
      <c r="O14" s="18"/>
    </row>
    <row r="15" customFormat="false" ht="35.05" hidden="false" customHeight="false" outlineLevel="0" collapsed="false">
      <c r="A15" s="19" t="s">
        <v>1656</v>
      </c>
      <c r="B15" s="19" t="s">
        <v>1651</v>
      </c>
      <c r="C15" s="20" t="s">
        <v>1652</v>
      </c>
      <c r="D15" s="20" t="s">
        <v>1606</v>
      </c>
      <c r="E15" s="20" t="s">
        <v>1531</v>
      </c>
      <c r="F15" s="19" t="s">
        <v>28</v>
      </c>
      <c r="G15" s="20" t="s">
        <v>1657</v>
      </c>
      <c r="H15" s="20" t="s">
        <v>247</v>
      </c>
      <c r="I15" s="19" t="s">
        <v>32</v>
      </c>
      <c r="J15" s="20" t="s">
        <v>1655</v>
      </c>
      <c r="K15" s="17" t="s">
        <v>34</v>
      </c>
      <c r="L15" s="18"/>
      <c r="M15" s="18"/>
      <c r="N15" s="18"/>
      <c r="O15" s="18"/>
    </row>
    <row r="16" customFormat="false" ht="35.05" hidden="false" customHeight="false" outlineLevel="0" collapsed="false">
      <c r="A16" s="19" t="s">
        <v>1658</v>
      </c>
      <c r="B16" s="19" t="s">
        <v>1651</v>
      </c>
      <c r="C16" s="20" t="s">
        <v>1652</v>
      </c>
      <c r="D16" s="20" t="s">
        <v>1606</v>
      </c>
      <c r="E16" s="20" t="s">
        <v>1531</v>
      </c>
      <c r="F16" s="19" t="s">
        <v>28</v>
      </c>
      <c r="G16" s="20" t="s">
        <v>1659</v>
      </c>
      <c r="H16" s="20" t="s">
        <v>247</v>
      </c>
      <c r="I16" s="19" t="s">
        <v>32</v>
      </c>
      <c r="J16" s="20" t="s">
        <v>1655</v>
      </c>
      <c r="K16" s="17" t="s">
        <v>34</v>
      </c>
      <c r="L16" s="18"/>
      <c r="M16" s="18"/>
      <c r="N16" s="18"/>
      <c r="O16" s="18"/>
    </row>
    <row r="17" customFormat="false" ht="23.85" hidden="false" customHeight="false" outlineLevel="0" collapsed="false">
      <c r="A17" s="15" t="s">
        <v>1660</v>
      </c>
      <c r="B17" s="15" t="s">
        <v>1661</v>
      </c>
      <c r="C17" s="16" t="s">
        <v>1662</v>
      </c>
      <c r="D17" s="16" t="s">
        <v>1606</v>
      </c>
      <c r="E17" s="16" t="s">
        <v>1531</v>
      </c>
      <c r="F17" s="15" t="s">
        <v>28</v>
      </c>
      <c r="G17" s="16" t="s">
        <v>1663</v>
      </c>
      <c r="H17" s="16" t="s">
        <v>1664</v>
      </c>
      <c r="I17" s="15" t="s">
        <v>32</v>
      </c>
      <c r="J17" s="16" t="s">
        <v>1665</v>
      </c>
      <c r="K17" s="17" t="s">
        <v>34</v>
      </c>
      <c r="L17" s="18"/>
      <c r="M17" s="18"/>
      <c r="N17" s="18"/>
      <c r="O17" s="18"/>
    </row>
    <row r="18" customFormat="false" ht="23.85" hidden="false" customHeight="false" outlineLevel="0" collapsed="false">
      <c r="A18" s="15" t="s">
        <v>1666</v>
      </c>
      <c r="B18" s="15" t="s">
        <v>1661</v>
      </c>
      <c r="C18" s="16" t="s">
        <v>1662</v>
      </c>
      <c r="D18" s="16" t="s">
        <v>1606</v>
      </c>
      <c r="E18" s="16" t="s">
        <v>1531</v>
      </c>
      <c r="F18" s="15" t="s">
        <v>28</v>
      </c>
      <c r="G18" s="16" t="s">
        <v>1667</v>
      </c>
      <c r="H18" s="16" t="s">
        <v>778</v>
      </c>
      <c r="I18" s="15" t="s">
        <v>32</v>
      </c>
      <c r="J18" s="16" t="s">
        <v>1665</v>
      </c>
      <c r="K18" s="17" t="s">
        <v>34</v>
      </c>
      <c r="L18" s="18"/>
      <c r="M18" s="18"/>
      <c r="N18" s="18"/>
      <c r="O18" s="18"/>
    </row>
    <row r="19" customFormat="false" ht="23.85" hidden="false" customHeight="false" outlineLevel="0" collapsed="false">
      <c r="A19" s="19" t="s">
        <v>1668</v>
      </c>
      <c r="B19" s="19" t="s">
        <v>1669</v>
      </c>
      <c r="C19" s="20" t="s">
        <v>1670</v>
      </c>
      <c r="D19" s="20" t="s">
        <v>1606</v>
      </c>
      <c r="E19" s="20" t="s">
        <v>1531</v>
      </c>
      <c r="F19" s="19" t="s">
        <v>29</v>
      </c>
      <c r="G19" s="20" t="s">
        <v>1671</v>
      </c>
      <c r="H19" s="20" t="s">
        <v>1672</v>
      </c>
      <c r="I19" s="19" t="s">
        <v>33</v>
      </c>
      <c r="J19" s="20" t="s">
        <v>1673</v>
      </c>
      <c r="K19" s="17" t="s">
        <v>34</v>
      </c>
      <c r="L19" s="18"/>
      <c r="M19" s="18"/>
      <c r="N19" s="18"/>
      <c r="O19" s="18"/>
    </row>
    <row r="20" customFormat="false" ht="23.85" hidden="false" customHeight="false" outlineLevel="0" collapsed="false">
      <c r="A20" s="19" t="s">
        <v>1674</v>
      </c>
      <c r="B20" s="19" t="s">
        <v>1669</v>
      </c>
      <c r="C20" s="20" t="s">
        <v>1670</v>
      </c>
      <c r="D20" s="20" t="s">
        <v>1606</v>
      </c>
      <c r="E20" s="20" t="s">
        <v>1531</v>
      </c>
      <c r="F20" s="19" t="s">
        <v>29</v>
      </c>
      <c r="G20" s="20" t="s">
        <v>1675</v>
      </c>
      <c r="H20" s="20" t="s">
        <v>1676</v>
      </c>
      <c r="I20" s="19" t="s">
        <v>33</v>
      </c>
      <c r="J20" s="20" t="s">
        <v>1673</v>
      </c>
      <c r="K20" s="17" t="s">
        <v>34</v>
      </c>
      <c r="L20" s="18"/>
      <c r="M20" s="18"/>
      <c r="N20" s="18"/>
      <c r="O20" s="18"/>
    </row>
    <row r="21" customFormat="false" ht="23.85" hidden="false" customHeight="false" outlineLevel="0" collapsed="false">
      <c r="A21" s="19" t="s">
        <v>1677</v>
      </c>
      <c r="B21" s="19" t="s">
        <v>1669</v>
      </c>
      <c r="C21" s="20" t="s">
        <v>1670</v>
      </c>
      <c r="D21" s="20" t="s">
        <v>1606</v>
      </c>
      <c r="E21" s="20" t="s">
        <v>1531</v>
      </c>
      <c r="F21" s="19" t="s">
        <v>29</v>
      </c>
      <c r="G21" s="20" t="s">
        <v>1678</v>
      </c>
      <c r="H21" s="20" t="s">
        <v>1679</v>
      </c>
      <c r="I21" s="19" t="s">
        <v>33</v>
      </c>
      <c r="J21" s="20" t="s">
        <v>1673</v>
      </c>
      <c r="K21" s="17" t="s">
        <v>34</v>
      </c>
      <c r="L21" s="18"/>
      <c r="M21" s="18"/>
      <c r="N21" s="18"/>
      <c r="O21" s="18"/>
    </row>
    <row r="22" customFormat="false" ht="23.85" hidden="false" customHeight="false" outlineLevel="0" collapsed="false">
      <c r="A22" s="19" t="s">
        <v>1680</v>
      </c>
      <c r="B22" s="19" t="s">
        <v>1669</v>
      </c>
      <c r="C22" s="20" t="s">
        <v>1670</v>
      </c>
      <c r="D22" s="20" t="s">
        <v>1606</v>
      </c>
      <c r="E22" s="20" t="s">
        <v>1531</v>
      </c>
      <c r="F22" s="19" t="s">
        <v>29</v>
      </c>
      <c r="G22" s="20" t="s">
        <v>1681</v>
      </c>
      <c r="H22" s="20" t="s">
        <v>1682</v>
      </c>
      <c r="I22" s="19" t="s">
        <v>31</v>
      </c>
      <c r="J22" s="20" t="s">
        <v>1673</v>
      </c>
      <c r="K22" s="17" t="s">
        <v>34</v>
      </c>
      <c r="L22" s="18"/>
      <c r="M22" s="18"/>
      <c r="N22" s="18"/>
      <c r="O22" s="18"/>
    </row>
    <row r="23" customFormat="false" ht="35.05" hidden="false" customHeight="false" outlineLevel="0" collapsed="false">
      <c r="A23" s="15" t="s">
        <v>1683</v>
      </c>
      <c r="B23" s="15" t="s">
        <v>1684</v>
      </c>
      <c r="C23" s="16" t="s">
        <v>1685</v>
      </c>
      <c r="D23" s="16" t="s">
        <v>1606</v>
      </c>
      <c r="E23" s="16" t="s">
        <v>1686</v>
      </c>
      <c r="F23" s="15" t="s">
        <v>28</v>
      </c>
      <c r="G23" s="16" t="s">
        <v>1687</v>
      </c>
      <c r="H23" s="16" t="s">
        <v>1688</v>
      </c>
      <c r="I23" s="15" t="s">
        <v>32</v>
      </c>
      <c r="J23" s="16" t="s">
        <v>1689</v>
      </c>
      <c r="K23" s="17" t="s">
        <v>34</v>
      </c>
      <c r="L23" s="18"/>
      <c r="M23" s="18"/>
      <c r="N23" s="18"/>
      <c r="O23" s="18"/>
    </row>
    <row r="24" customFormat="false" ht="35.05" hidden="false" customHeight="false" outlineLevel="0" collapsed="false">
      <c r="A24" s="15" t="s">
        <v>1690</v>
      </c>
      <c r="B24" s="15" t="s">
        <v>1684</v>
      </c>
      <c r="C24" s="16" t="s">
        <v>1685</v>
      </c>
      <c r="D24" s="16" t="s">
        <v>1606</v>
      </c>
      <c r="E24" s="16" t="s">
        <v>1686</v>
      </c>
      <c r="F24" s="15" t="s">
        <v>28</v>
      </c>
      <c r="G24" s="16" t="s">
        <v>1691</v>
      </c>
      <c r="H24" s="16" t="s">
        <v>1692</v>
      </c>
      <c r="I24" s="15" t="s">
        <v>32</v>
      </c>
      <c r="J24" s="16" t="s">
        <v>1689</v>
      </c>
      <c r="K24" s="17" t="s">
        <v>34</v>
      </c>
      <c r="L24" s="18"/>
      <c r="M24" s="18"/>
      <c r="N24" s="18"/>
      <c r="O24" s="18"/>
    </row>
    <row r="25" customFormat="false" ht="35.05" hidden="false" customHeight="false" outlineLevel="0" collapsed="false">
      <c r="A25" s="15" t="s">
        <v>1693</v>
      </c>
      <c r="B25" s="15" t="s">
        <v>1684</v>
      </c>
      <c r="C25" s="16" t="s">
        <v>1685</v>
      </c>
      <c r="D25" s="16" t="s">
        <v>1606</v>
      </c>
      <c r="E25" s="16" t="s">
        <v>1686</v>
      </c>
      <c r="F25" s="15" t="s">
        <v>28</v>
      </c>
      <c r="G25" s="16" t="s">
        <v>1694</v>
      </c>
      <c r="H25" s="16" t="s">
        <v>1695</v>
      </c>
      <c r="I25" s="15" t="s">
        <v>32</v>
      </c>
      <c r="J25" s="16" t="s">
        <v>1689</v>
      </c>
      <c r="K25" s="17" t="s">
        <v>34</v>
      </c>
      <c r="L25" s="18"/>
      <c r="M25" s="18"/>
      <c r="N25" s="18"/>
      <c r="O25" s="18"/>
    </row>
    <row r="26" customFormat="false" ht="35.05" hidden="false" customHeight="false" outlineLevel="0" collapsed="false">
      <c r="A26" s="15" t="s">
        <v>1696</v>
      </c>
      <c r="B26" s="15" t="s">
        <v>1684</v>
      </c>
      <c r="C26" s="16" t="s">
        <v>1685</v>
      </c>
      <c r="D26" s="16" t="s">
        <v>1606</v>
      </c>
      <c r="E26" s="16" t="s">
        <v>1686</v>
      </c>
      <c r="F26" s="15" t="s">
        <v>28</v>
      </c>
      <c r="G26" s="16" t="s">
        <v>1697</v>
      </c>
      <c r="H26" s="16" t="s">
        <v>1698</v>
      </c>
      <c r="I26" s="15" t="s">
        <v>32</v>
      </c>
      <c r="J26" s="16" t="s">
        <v>1689</v>
      </c>
      <c r="K26" s="17" t="s">
        <v>34</v>
      </c>
      <c r="L26" s="18"/>
      <c r="M26" s="18"/>
      <c r="N26" s="18"/>
      <c r="O26" s="18"/>
    </row>
    <row r="27" customFormat="false" ht="35.05" hidden="false" customHeight="false" outlineLevel="0" collapsed="false">
      <c r="A27" s="15" t="s">
        <v>1699</v>
      </c>
      <c r="B27" s="15" t="s">
        <v>1684</v>
      </c>
      <c r="C27" s="16" t="s">
        <v>1685</v>
      </c>
      <c r="D27" s="16" t="s">
        <v>1606</v>
      </c>
      <c r="E27" s="16" t="s">
        <v>1686</v>
      </c>
      <c r="F27" s="15" t="s">
        <v>28</v>
      </c>
      <c r="G27" s="16" t="s">
        <v>1700</v>
      </c>
      <c r="H27" s="16" t="s">
        <v>1701</v>
      </c>
      <c r="I27" s="15" t="s">
        <v>32</v>
      </c>
      <c r="J27" s="16" t="s">
        <v>1689</v>
      </c>
      <c r="K27" s="17" t="s">
        <v>34</v>
      </c>
      <c r="L27" s="18"/>
      <c r="M27" s="18"/>
      <c r="N27" s="18"/>
      <c r="O27" s="18"/>
    </row>
    <row r="28" customFormat="false" ht="35.05" hidden="false" customHeight="false" outlineLevel="0" collapsed="false">
      <c r="A28" s="15" t="s">
        <v>1702</v>
      </c>
      <c r="B28" s="15" t="s">
        <v>1684</v>
      </c>
      <c r="C28" s="16" t="s">
        <v>1685</v>
      </c>
      <c r="D28" s="16" t="s">
        <v>1606</v>
      </c>
      <c r="E28" s="16" t="s">
        <v>1686</v>
      </c>
      <c r="F28" s="15" t="s">
        <v>28</v>
      </c>
      <c r="G28" s="16" t="s">
        <v>1703</v>
      </c>
      <c r="H28" s="16" t="s">
        <v>1704</v>
      </c>
      <c r="I28" s="15" t="s">
        <v>32</v>
      </c>
      <c r="J28" s="16" t="s">
        <v>1689</v>
      </c>
      <c r="K28" s="17" t="s">
        <v>34</v>
      </c>
      <c r="L28" s="18"/>
      <c r="M28" s="18"/>
      <c r="N28" s="18"/>
      <c r="O28" s="18"/>
    </row>
    <row r="29" customFormat="false" ht="35.05" hidden="false" customHeight="false" outlineLevel="0" collapsed="false">
      <c r="A29" s="15" t="s">
        <v>1705</v>
      </c>
      <c r="B29" s="15" t="s">
        <v>1684</v>
      </c>
      <c r="C29" s="16" t="s">
        <v>1685</v>
      </c>
      <c r="D29" s="16" t="s">
        <v>1606</v>
      </c>
      <c r="E29" s="16" t="s">
        <v>1686</v>
      </c>
      <c r="F29" s="15" t="s">
        <v>30</v>
      </c>
      <c r="G29" s="16" t="s">
        <v>1706</v>
      </c>
      <c r="H29" s="16" t="s">
        <v>1707</v>
      </c>
      <c r="I29" s="15" t="s">
        <v>31</v>
      </c>
      <c r="J29" s="16" t="s">
        <v>1689</v>
      </c>
      <c r="K29" s="17" t="s">
        <v>34</v>
      </c>
      <c r="L29" s="18"/>
      <c r="M29" s="18"/>
      <c r="N29" s="18"/>
      <c r="O29" s="18"/>
    </row>
    <row r="30" customFormat="false" ht="23.85" hidden="false" customHeight="false" outlineLevel="0" collapsed="false">
      <c r="A30" s="19" t="s">
        <v>1708</v>
      </c>
      <c r="B30" s="19" t="s">
        <v>1709</v>
      </c>
      <c r="C30" s="20" t="s">
        <v>1710</v>
      </c>
      <c r="D30" s="20" t="s">
        <v>1711</v>
      </c>
      <c r="E30" s="20" t="s">
        <v>1712</v>
      </c>
      <c r="F30" s="19" t="s">
        <v>27</v>
      </c>
      <c r="G30" s="20" t="s">
        <v>1713</v>
      </c>
      <c r="H30" s="20" t="s">
        <v>1714</v>
      </c>
      <c r="I30" s="19" t="s">
        <v>31</v>
      </c>
      <c r="J30" s="20" t="s">
        <v>1715</v>
      </c>
      <c r="K30" s="17" t="s">
        <v>34</v>
      </c>
      <c r="L30" s="18"/>
      <c r="M30" s="18"/>
      <c r="N30" s="18"/>
      <c r="O30" s="18"/>
    </row>
    <row r="31" customFormat="false" ht="23.85" hidden="false" customHeight="false" outlineLevel="0" collapsed="false">
      <c r="A31" s="19" t="s">
        <v>1716</v>
      </c>
      <c r="B31" s="19" t="s">
        <v>1709</v>
      </c>
      <c r="C31" s="20" t="s">
        <v>1710</v>
      </c>
      <c r="D31" s="20" t="s">
        <v>1711</v>
      </c>
      <c r="E31" s="20" t="s">
        <v>1712</v>
      </c>
      <c r="F31" s="19" t="s">
        <v>29</v>
      </c>
      <c r="G31" s="20" t="s">
        <v>1717</v>
      </c>
      <c r="H31" s="20" t="s">
        <v>1718</v>
      </c>
      <c r="I31" s="19" t="s">
        <v>33</v>
      </c>
      <c r="J31" s="20" t="s">
        <v>1715</v>
      </c>
      <c r="K31" s="17" t="s">
        <v>34</v>
      </c>
      <c r="L31" s="18"/>
      <c r="M31" s="18"/>
      <c r="N31" s="18"/>
      <c r="O31" s="18"/>
    </row>
    <row r="32" customFormat="false" ht="23.85" hidden="false" customHeight="false" outlineLevel="0" collapsed="false">
      <c r="A32" s="19" t="s">
        <v>1719</v>
      </c>
      <c r="B32" s="19" t="s">
        <v>1709</v>
      </c>
      <c r="C32" s="20" t="s">
        <v>1710</v>
      </c>
      <c r="D32" s="20" t="s">
        <v>1711</v>
      </c>
      <c r="E32" s="20" t="s">
        <v>1712</v>
      </c>
      <c r="F32" s="19" t="s">
        <v>29</v>
      </c>
      <c r="G32" s="20" t="s">
        <v>740</v>
      </c>
      <c r="H32" s="20" t="s">
        <v>1720</v>
      </c>
      <c r="I32" s="19" t="s">
        <v>33</v>
      </c>
      <c r="J32" s="20" t="s">
        <v>1715</v>
      </c>
      <c r="K32" s="17" t="s">
        <v>34</v>
      </c>
      <c r="L32" s="18"/>
      <c r="M32" s="18"/>
      <c r="N32" s="18"/>
      <c r="O32" s="18"/>
    </row>
    <row r="33" customFormat="false" ht="23.85" hidden="false" customHeight="false" outlineLevel="0" collapsed="false">
      <c r="A33" s="15" t="s">
        <v>1721</v>
      </c>
      <c r="B33" s="15" t="s">
        <v>1722</v>
      </c>
      <c r="C33" s="16" t="s">
        <v>1723</v>
      </c>
      <c r="D33" s="16" t="s">
        <v>1724</v>
      </c>
      <c r="E33" s="16" t="s">
        <v>1725</v>
      </c>
      <c r="F33" s="15" t="s">
        <v>30</v>
      </c>
      <c r="G33" s="16" t="s">
        <v>1726</v>
      </c>
      <c r="H33" s="16" t="s">
        <v>1727</v>
      </c>
      <c r="I33" s="15" t="s">
        <v>31</v>
      </c>
      <c r="J33" s="16" t="s">
        <v>1728</v>
      </c>
      <c r="K33" s="17" t="s">
        <v>34</v>
      </c>
      <c r="L33" s="18"/>
      <c r="M33" s="18"/>
      <c r="N33" s="18"/>
      <c r="O33" s="18"/>
    </row>
    <row r="34" customFormat="false" ht="23.85" hidden="false" customHeight="false" outlineLevel="0" collapsed="false">
      <c r="A34" s="15" t="s">
        <v>1729</v>
      </c>
      <c r="B34" s="15" t="s">
        <v>1722</v>
      </c>
      <c r="C34" s="16" t="s">
        <v>1723</v>
      </c>
      <c r="D34" s="16" t="s">
        <v>1724</v>
      </c>
      <c r="E34" s="16" t="s">
        <v>1725</v>
      </c>
      <c r="F34" s="15" t="s">
        <v>30</v>
      </c>
      <c r="G34" s="16" t="s">
        <v>1730</v>
      </c>
      <c r="H34" s="16" t="s">
        <v>1731</v>
      </c>
      <c r="I34" s="15" t="s">
        <v>31</v>
      </c>
      <c r="J34" s="16" t="s">
        <v>1728</v>
      </c>
      <c r="K34" s="17" t="s">
        <v>34</v>
      </c>
      <c r="L34" s="18"/>
      <c r="M34" s="18"/>
      <c r="N34" s="18"/>
      <c r="O34" s="18"/>
    </row>
    <row r="35" customFormat="false" ht="23.85" hidden="false" customHeight="false" outlineLevel="0" collapsed="false">
      <c r="A35" s="15" t="s">
        <v>1732</v>
      </c>
      <c r="B35" s="15" t="s">
        <v>1722</v>
      </c>
      <c r="C35" s="16" t="s">
        <v>1723</v>
      </c>
      <c r="D35" s="16" t="s">
        <v>1724</v>
      </c>
      <c r="E35" s="16" t="s">
        <v>1725</v>
      </c>
      <c r="F35" s="15" t="s">
        <v>30</v>
      </c>
      <c r="G35" s="16" t="s">
        <v>1733</v>
      </c>
      <c r="H35" s="16" t="s">
        <v>1734</v>
      </c>
      <c r="I35" s="15" t="s">
        <v>31</v>
      </c>
      <c r="J35" s="16" t="s">
        <v>1728</v>
      </c>
      <c r="K35" s="17" t="s">
        <v>34</v>
      </c>
      <c r="L35" s="18"/>
      <c r="M35" s="18"/>
      <c r="N35" s="18"/>
      <c r="O35" s="18"/>
    </row>
    <row r="36" customFormat="false" ht="23.85" hidden="false" customHeight="false" outlineLevel="0" collapsed="false">
      <c r="A36" s="19" t="s">
        <v>1735</v>
      </c>
      <c r="B36" s="19" t="s">
        <v>1736</v>
      </c>
      <c r="C36" s="20" t="s">
        <v>1737</v>
      </c>
      <c r="D36" s="20" t="s">
        <v>1738</v>
      </c>
      <c r="E36" s="20" t="s">
        <v>1531</v>
      </c>
      <c r="F36" s="19" t="s">
        <v>28</v>
      </c>
      <c r="G36" s="20" t="s">
        <v>1598</v>
      </c>
      <c r="H36" s="20" t="s">
        <v>1739</v>
      </c>
      <c r="I36" s="19" t="s">
        <v>32</v>
      </c>
      <c r="J36" s="20" t="s">
        <v>1740</v>
      </c>
      <c r="K36" s="17" t="s">
        <v>34</v>
      </c>
      <c r="L36" s="18"/>
      <c r="M36" s="18"/>
      <c r="N36" s="18"/>
      <c r="O36" s="18"/>
    </row>
    <row r="37" customFormat="false" ht="23.85" hidden="false" customHeight="false" outlineLevel="0" collapsed="false">
      <c r="A37" s="19" t="s">
        <v>1741</v>
      </c>
      <c r="B37" s="19" t="s">
        <v>1736</v>
      </c>
      <c r="C37" s="20" t="s">
        <v>1737</v>
      </c>
      <c r="D37" s="20" t="s">
        <v>1738</v>
      </c>
      <c r="E37" s="20" t="s">
        <v>1531</v>
      </c>
      <c r="F37" s="19" t="s">
        <v>30</v>
      </c>
      <c r="G37" s="20" t="s">
        <v>1742</v>
      </c>
      <c r="H37" s="20" t="s">
        <v>1743</v>
      </c>
      <c r="I37" s="19" t="s">
        <v>31</v>
      </c>
      <c r="J37" s="20" t="s">
        <v>1740</v>
      </c>
      <c r="K37" s="17" t="s">
        <v>34</v>
      </c>
      <c r="L37" s="18"/>
      <c r="M37" s="18"/>
      <c r="N37" s="18"/>
      <c r="O37" s="18"/>
    </row>
    <row r="38" customFormat="false" ht="23.85" hidden="false" customHeight="false" outlineLevel="0" collapsed="false">
      <c r="A38" s="15" t="s">
        <v>1744</v>
      </c>
      <c r="B38" s="15" t="s">
        <v>1745</v>
      </c>
      <c r="C38" s="16" t="s">
        <v>1746</v>
      </c>
      <c r="D38" s="16" t="s">
        <v>1747</v>
      </c>
      <c r="E38" s="16" t="s">
        <v>1748</v>
      </c>
      <c r="F38" s="15" t="s">
        <v>30</v>
      </c>
      <c r="G38" s="16" t="s">
        <v>1749</v>
      </c>
      <c r="H38" s="16" t="s">
        <v>1750</v>
      </c>
      <c r="I38" s="15" t="s">
        <v>31</v>
      </c>
      <c r="J38" s="16" t="s">
        <v>1751</v>
      </c>
      <c r="K38" s="17" t="s">
        <v>34</v>
      </c>
      <c r="L38" s="18"/>
      <c r="M38" s="18"/>
      <c r="N38" s="18"/>
      <c r="O38" s="18"/>
    </row>
    <row r="39" customFormat="false" ht="15" hidden="false" customHeight="false" outlineLevel="0" collapsed="false">
      <c r="A39" s="19" t="s">
        <v>1752</v>
      </c>
      <c r="B39" s="19" t="s">
        <v>1753</v>
      </c>
      <c r="C39" s="20" t="s">
        <v>1754</v>
      </c>
      <c r="D39" s="20" t="s">
        <v>1606</v>
      </c>
      <c r="E39" s="20" t="s">
        <v>1531</v>
      </c>
      <c r="F39" s="19" t="s">
        <v>29</v>
      </c>
      <c r="G39" s="20" t="s">
        <v>1755</v>
      </c>
      <c r="H39" s="20" t="s">
        <v>1756</v>
      </c>
      <c r="I39" s="19" t="s">
        <v>32</v>
      </c>
      <c r="J39" s="20" t="s">
        <v>1757</v>
      </c>
      <c r="K39" s="17" t="s">
        <v>34</v>
      </c>
      <c r="L39" s="18"/>
      <c r="M39" s="18"/>
      <c r="N39" s="18"/>
      <c r="O39" s="18"/>
    </row>
    <row r="40" customFormat="false" ht="35.05" hidden="false" customHeight="false" outlineLevel="0" collapsed="false">
      <c r="A40" s="15" t="s">
        <v>1758</v>
      </c>
      <c r="B40" s="15" t="s">
        <v>1759</v>
      </c>
      <c r="C40" s="16" t="s">
        <v>1760</v>
      </c>
      <c r="D40" s="16" t="s">
        <v>1606</v>
      </c>
      <c r="E40" s="16" t="s">
        <v>1761</v>
      </c>
      <c r="F40" s="15" t="s">
        <v>29</v>
      </c>
      <c r="G40" s="16" t="s">
        <v>1762</v>
      </c>
      <c r="H40" s="16" t="s">
        <v>1763</v>
      </c>
      <c r="I40" s="15" t="s">
        <v>33</v>
      </c>
      <c r="J40" s="16" t="s">
        <v>1764</v>
      </c>
      <c r="K40" s="17" t="s">
        <v>34</v>
      </c>
      <c r="L40" s="18"/>
      <c r="M40" s="18"/>
      <c r="N40" s="18"/>
      <c r="O40" s="18"/>
    </row>
    <row r="41" customFormat="false" ht="35.05" hidden="false" customHeight="false" outlineLevel="0" collapsed="false">
      <c r="A41" s="15" t="s">
        <v>1765</v>
      </c>
      <c r="B41" s="15" t="s">
        <v>1759</v>
      </c>
      <c r="C41" s="16" t="s">
        <v>1760</v>
      </c>
      <c r="D41" s="16" t="s">
        <v>1606</v>
      </c>
      <c r="E41" s="16" t="s">
        <v>1761</v>
      </c>
      <c r="F41" s="15" t="s">
        <v>29</v>
      </c>
      <c r="G41" s="16" t="s">
        <v>1766</v>
      </c>
      <c r="H41" s="16" t="s">
        <v>1718</v>
      </c>
      <c r="I41" s="15" t="s">
        <v>33</v>
      </c>
      <c r="J41" s="16" t="s">
        <v>1764</v>
      </c>
      <c r="K41" s="17" t="s">
        <v>34</v>
      </c>
      <c r="L41" s="18"/>
      <c r="M41" s="18"/>
      <c r="N41" s="18"/>
      <c r="O41" s="18"/>
    </row>
    <row r="42" customFormat="false" ht="35.05" hidden="false" customHeight="false" outlineLevel="0" collapsed="false">
      <c r="A42" s="15" t="s">
        <v>1767</v>
      </c>
      <c r="B42" s="15" t="s">
        <v>1759</v>
      </c>
      <c r="C42" s="16" t="s">
        <v>1760</v>
      </c>
      <c r="D42" s="16" t="s">
        <v>1606</v>
      </c>
      <c r="E42" s="16" t="s">
        <v>1761</v>
      </c>
      <c r="F42" s="15" t="s">
        <v>29</v>
      </c>
      <c r="G42" s="16" t="s">
        <v>1768</v>
      </c>
      <c r="H42" s="16" t="s">
        <v>1769</v>
      </c>
      <c r="I42" s="15" t="s">
        <v>33</v>
      </c>
      <c r="J42" s="16" t="s">
        <v>1764</v>
      </c>
      <c r="K42" s="17" t="s">
        <v>34</v>
      </c>
      <c r="L42" s="18"/>
      <c r="M42" s="18"/>
      <c r="N42" s="18"/>
      <c r="O42" s="18"/>
    </row>
  </sheetData>
  <autoFilter ref="A1:O42"/>
  <conditionalFormatting sqref="K2:K242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conditionalFormatting sqref="F2:F242">
    <cfRule type="cellIs" priority="6" operator="equal" aboveAverage="0" equalAverage="0" bottom="0" percent="0" rank="0" text="" dxfId="12">
      <formula>"Security"</formula>
    </cfRule>
    <cfRule type="cellIs" priority="7" operator="equal" aboveAverage="0" equalAverage="0" bottom="0" percent="0" rank="0" text="" dxfId="13">
      <formula>"Negative"</formula>
    </cfRule>
    <cfRule type="cellIs" priority="8" operator="equal" aboveAverage="0" equalAverage="0" bottom="0" percent="0" rank="0" text="" dxfId="14">
      <formula>"Happy"</formula>
    </cfRule>
  </conditionalFormatting>
  <dataValidations count="2">
    <dataValidation allowBlank="true" errorStyle="stop" operator="between" showDropDown="false" showErrorMessage="false" showInputMessage="false" sqref="K2:K242" type="list">
      <formula1>"Not Run,Pass,Fail,Blocked,N/A"</formula1>
      <formula2>0</formula2>
    </dataValidation>
    <dataValidation allowBlank="false" errorStyle="stop" operator="between" showDropDown="false" showErrorMessage="false" showInputMessage="false" sqref="I2:I242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70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6" t="s">
        <v>1770</v>
      </c>
      <c r="B1" s="6" t="s">
        <v>24</v>
      </c>
      <c r="C1" s="6" t="s">
        <v>57</v>
      </c>
      <c r="D1" s="6" t="s">
        <v>1771</v>
      </c>
      <c r="E1" s="6" t="s">
        <v>1772</v>
      </c>
      <c r="F1" s="6" t="s">
        <v>1773</v>
      </c>
      <c r="G1" s="6" t="s">
        <v>62</v>
      </c>
      <c r="H1" s="6" t="s">
        <v>1774</v>
      </c>
      <c r="I1" s="6" t="s">
        <v>1775</v>
      </c>
      <c r="J1" s="6" t="s">
        <v>1776</v>
      </c>
    </row>
    <row r="2" customFormat="false" ht="23.85" hidden="false" customHeight="false" outlineLevel="0" collapsed="false">
      <c r="A2" s="19" t="s">
        <v>1777</v>
      </c>
      <c r="B2" s="20" t="s">
        <v>41</v>
      </c>
      <c r="C2" s="20" t="s">
        <v>1778</v>
      </c>
      <c r="D2" s="20" t="s">
        <v>1779</v>
      </c>
      <c r="E2" s="20" t="s">
        <v>1780</v>
      </c>
      <c r="F2" s="20" t="s">
        <v>1781</v>
      </c>
      <c r="G2" s="17" t="s">
        <v>1782</v>
      </c>
      <c r="H2" s="18"/>
      <c r="I2" s="18"/>
      <c r="J2" s="18"/>
    </row>
    <row r="3" customFormat="false" ht="23.85" hidden="false" customHeight="false" outlineLevel="0" collapsed="false">
      <c r="A3" s="19" t="s">
        <v>1783</v>
      </c>
      <c r="B3" s="20" t="s">
        <v>41</v>
      </c>
      <c r="C3" s="20" t="s">
        <v>1778</v>
      </c>
      <c r="D3" s="20" t="s">
        <v>1784</v>
      </c>
      <c r="E3" s="20" t="s">
        <v>1785</v>
      </c>
      <c r="F3" s="20" t="s">
        <v>1786</v>
      </c>
      <c r="G3" s="17" t="s">
        <v>1782</v>
      </c>
      <c r="H3" s="18"/>
      <c r="I3" s="18"/>
      <c r="J3" s="18"/>
    </row>
    <row r="4" customFormat="false" ht="23.85" hidden="false" customHeight="false" outlineLevel="0" collapsed="false">
      <c r="A4" s="19" t="s">
        <v>1787</v>
      </c>
      <c r="B4" s="20" t="s">
        <v>41</v>
      </c>
      <c r="C4" s="20" t="s">
        <v>1778</v>
      </c>
      <c r="D4" s="20" t="s">
        <v>1788</v>
      </c>
      <c r="E4" s="20" t="s">
        <v>1789</v>
      </c>
      <c r="F4" s="20" t="s">
        <v>1790</v>
      </c>
      <c r="G4" s="17" t="s">
        <v>1782</v>
      </c>
      <c r="H4" s="18"/>
      <c r="I4" s="18"/>
      <c r="J4" s="18"/>
    </row>
    <row r="5" customFormat="false" ht="23.85" hidden="false" customHeight="false" outlineLevel="0" collapsed="false">
      <c r="A5" s="19" t="s">
        <v>1791</v>
      </c>
      <c r="B5" s="20" t="s">
        <v>41</v>
      </c>
      <c r="C5" s="20" t="s">
        <v>1792</v>
      </c>
      <c r="D5" s="20" t="s">
        <v>1793</v>
      </c>
      <c r="E5" s="20" t="s">
        <v>456</v>
      </c>
      <c r="F5" s="20" t="s">
        <v>1794</v>
      </c>
      <c r="G5" s="17" t="s">
        <v>1782</v>
      </c>
      <c r="H5" s="18"/>
      <c r="I5" s="18"/>
      <c r="J5" s="18"/>
    </row>
    <row r="6" customFormat="false" ht="15" hidden="false" customHeight="false" outlineLevel="0" collapsed="false">
      <c r="A6" s="19" t="s">
        <v>1795</v>
      </c>
      <c r="B6" s="20" t="s">
        <v>41</v>
      </c>
      <c r="C6" s="20" t="s">
        <v>1792</v>
      </c>
      <c r="D6" s="20" t="s">
        <v>1796</v>
      </c>
      <c r="E6" s="20" t="s">
        <v>1797</v>
      </c>
      <c r="F6" s="20" t="s">
        <v>1798</v>
      </c>
      <c r="G6" s="17" t="s">
        <v>1782</v>
      </c>
      <c r="H6" s="18"/>
      <c r="I6" s="18"/>
      <c r="J6" s="18"/>
    </row>
    <row r="7" customFormat="false" ht="15" hidden="false" customHeight="false" outlineLevel="0" collapsed="false">
      <c r="A7" s="19" t="s">
        <v>1799</v>
      </c>
      <c r="B7" s="20" t="s">
        <v>41</v>
      </c>
      <c r="C7" s="20" t="s">
        <v>1800</v>
      </c>
      <c r="D7" s="20" t="s">
        <v>1801</v>
      </c>
      <c r="E7" s="20" t="s">
        <v>1802</v>
      </c>
      <c r="F7" s="20" t="s">
        <v>1803</v>
      </c>
      <c r="G7" s="17" t="s">
        <v>1782</v>
      </c>
      <c r="H7" s="18"/>
      <c r="I7" s="18"/>
      <c r="J7" s="18"/>
    </row>
    <row r="8" customFormat="false" ht="23.85" hidden="false" customHeight="false" outlineLevel="0" collapsed="false">
      <c r="A8" s="19" t="s">
        <v>1804</v>
      </c>
      <c r="B8" s="20" t="s">
        <v>41</v>
      </c>
      <c r="C8" s="20" t="s">
        <v>1805</v>
      </c>
      <c r="D8" s="20" t="s">
        <v>1806</v>
      </c>
      <c r="E8" s="20" t="s">
        <v>1807</v>
      </c>
      <c r="F8" s="20" t="s">
        <v>1808</v>
      </c>
      <c r="G8" s="17" t="s">
        <v>1782</v>
      </c>
      <c r="H8" s="18"/>
      <c r="I8" s="18"/>
      <c r="J8" s="18"/>
    </row>
    <row r="9" customFormat="false" ht="23.85" hidden="false" customHeight="false" outlineLevel="0" collapsed="false">
      <c r="A9" s="19" t="s">
        <v>1809</v>
      </c>
      <c r="B9" s="20" t="s">
        <v>42</v>
      </c>
      <c r="C9" s="20" t="s">
        <v>1805</v>
      </c>
      <c r="D9" s="20" t="s">
        <v>1810</v>
      </c>
      <c r="E9" s="20" t="s">
        <v>1811</v>
      </c>
      <c r="F9" s="20" t="s">
        <v>1812</v>
      </c>
      <c r="G9" s="17" t="s">
        <v>1782</v>
      </c>
      <c r="H9" s="18"/>
      <c r="I9" s="18"/>
      <c r="J9" s="18"/>
    </row>
    <row r="10" customFormat="false" ht="23.85" hidden="false" customHeight="false" outlineLevel="0" collapsed="false">
      <c r="A10" s="19" t="s">
        <v>1813</v>
      </c>
      <c r="B10" s="20" t="s">
        <v>42</v>
      </c>
      <c r="C10" s="20" t="s">
        <v>1800</v>
      </c>
      <c r="D10" s="20" t="s">
        <v>1814</v>
      </c>
      <c r="E10" s="20" t="s">
        <v>1811</v>
      </c>
      <c r="F10" s="20" t="s">
        <v>1803</v>
      </c>
      <c r="G10" s="17" t="s">
        <v>1782</v>
      </c>
      <c r="H10" s="18"/>
      <c r="I10" s="18"/>
      <c r="J10" s="18"/>
    </row>
    <row r="11" customFormat="false" ht="23.85" hidden="false" customHeight="false" outlineLevel="0" collapsed="false">
      <c r="A11" s="19" t="s">
        <v>1815</v>
      </c>
      <c r="B11" s="20" t="s">
        <v>1816</v>
      </c>
      <c r="C11" s="20" t="s">
        <v>1792</v>
      </c>
      <c r="D11" s="20" t="s">
        <v>1817</v>
      </c>
      <c r="E11" s="20" t="s">
        <v>1818</v>
      </c>
      <c r="F11" s="20" t="s">
        <v>1819</v>
      </c>
      <c r="G11" s="17" t="s">
        <v>1782</v>
      </c>
      <c r="H11" s="18"/>
      <c r="I11" s="18"/>
      <c r="J11" s="18"/>
    </row>
    <row r="12" customFormat="false" ht="23.85" hidden="false" customHeight="false" outlineLevel="0" collapsed="false">
      <c r="A12" s="19" t="s">
        <v>1820</v>
      </c>
      <c r="B12" s="20" t="s">
        <v>42</v>
      </c>
      <c r="C12" s="20" t="s">
        <v>1792</v>
      </c>
      <c r="D12" s="20" t="s">
        <v>1821</v>
      </c>
      <c r="E12" s="20" t="s">
        <v>1822</v>
      </c>
      <c r="F12" s="20" t="s">
        <v>1823</v>
      </c>
      <c r="G12" s="17" t="s">
        <v>1782</v>
      </c>
      <c r="H12" s="18"/>
      <c r="I12" s="18"/>
      <c r="J12" s="18"/>
    </row>
    <row r="13" customFormat="false" ht="23.85" hidden="false" customHeight="false" outlineLevel="0" collapsed="false">
      <c r="A13" s="19" t="s">
        <v>1824</v>
      </c>
      <c r="B13" s="20" t="s">
        <v>42</v>
      </c>
      <c r="C13" s="20" t="s">
        <v>1792</v>
      </c>
      <c r="D13" s="20" t="s">
        <v>1825</v>
      </c>
      <c r="E13" s="20" t="s">
        <v>1826</v>
      </c>
      <c r="F13" s="20" t="s">
        <v>1827</v>
      </c>
      <c r="G13" s="17" t="s">
        <v>1782</v>
      </c>
      <c r="H13" s="18"/>
      <c r="I13" s="18"/>
      <c r="J13" s="18"/>
    </row>
    <row r="14" customFormat="false" ht="23.85" hidden="false" customHeight="false" outlineLevel="0" collapsed="false">
      <c r="A14" s="19" t="s">
        <v>1828</v>
      </c>
      <c r="B14" s="20" t="s">
        <v>42</v>
      </c>
      <c r="C14" s="20" t="s">
        <v>1800</v>
      </c>
      <c r="D14" s="20" t="s">
        <v>1829</v>
      </c>
      <c r="E14" s="20" t="s">
        <v>932</v>
      </c>
      <c r="F14" s="20" t="s">
        <v>1830</v>
      </c>
      <c r="G14" s="17" t="s">
        <v>1782</v>
      </c>
      <c r="H14" s="18"/>
      <c r="I14" s="18"/>
      <c r="J14" s="18"/>
    </row>
    <row r="15" customFormat="false" ht="15" hidden="false" customHeight="false" outlineLevel="0" collapsed="false">
      <c r="A15" s="19" t="s">
        <v>1831</v>
      </c>
      <c r="B15" s="20" t="s">
        <v>42</v>
      </c>
      <c r="C15" s="20" t="s">
        <v>1778</v>
      </c>
      <c r="D15" s="20" t="s">
        <v>1832</v>
      </c>
      <c r="E15" s="20" t="s">
        <v>1833</v>
      </c>
      <c r="F15" s="20" t="s">
        <v>1834</v>
      </c>
      <c r="G15" s="17" t="s">
        <v>1782</v>
      </c>
      <c r="H15" s="18"/>
      <c r="I15" s="18"/>
      <c r="J15" s="18"/>
    </row>
    <row r="16" customFormat="false" ht="35.05" hidden="false" customHeight="false" outlineLevel="0" collapsed="false">
      <c r="A16" s="19" t="s">
        <v>1835</v>
      </c>
      <c r="B16" s="20" t="s">
        <v>42</v>
      </c>
      <c r="C16" s="20" t="s">
        <v>1778</v>
      </c>
      <c r="D16" s="20" t="s">
        <v>1836</v>
      </c>
      <c r="E16" s="20" t="s">
        <v>1837</v>
      </c>
      <c r="F16" s="20" t="s">
        <v>1838</v>
      </c>
      <c r="G16" s="17" t="s">
        <v>1782</v>
      </c>
      <c r="H16" s="18"/>
      <c r="I16" s="18"/>
      <c r="J16" s="18"/>
    </row>
    <row r="17" customFormat="false" ht="23.85" hidden="false" customHeight="false" outlineLevel="0" collapsed="false">
      <c r="A17" s="19" t="s">
        <v>1839</v>
      </c>
      <c r="B17" s="20" t="s">
        <v>43</v>
      </c>
      <c r="C17" s="20" t="s">
        <v>1792</v>
      </c>
      <c r="D17" s="20" t="s">
        <v>1840</v>
      </c>
      <c r="E17" s="20" t="s">
        <v>1826</v>
      </c>
      <c r="F17" s="20" t="s">
        <v>1841</v>
      </c>
      <c r="G17" s="17" t="s">
        <v>1782</v>
      </c>
      <c r="H17" s="18"/>
      <c r="I17" s="18"/>
      <c r="J17" s="18"/>
    </row>
    <row r="18" customFormat="false" ht="23.85" hidden="false" customHeight="false" outlineLevel="0" collapsed="false">
      <c r="A18" s="19" t="s">
        <v>1842</v>
      </c>
      <c r="B18" s="20" t="s">
        <v>43</v>
      </c>
      <c r="C18" s="20" t="s">
        <v>30</v>
      </c>
      <c r="D18" s="20" t="s">
        <v>1843</v>
      </c>
      <c r="E18" s="20" t="s">
        <v>1844</v>
      </c>
      <c r="F18" s="20" t="s">
        <v>1845</v>
      </c>
      <c r="G18" s="17" t="s">
        <v>1782</v>
      </c>
      <c r="H18" s="18"/>
      <c r="I18" s="18"/>
      <c r="J18" s="18"/>
    </row>
    <row r="19" customFormat="false" ht="23.85" hidden="false" customHeight="false" outlineLevel="0" collapsed="false">
      <c r="A19" s="19" t="s">
        <v>1846</v>
      </c>
      <c r="B19" s="20" t="s">
        <v>43</v>
      </c>
      <c r="C19" s="20" t="s">
        <v>1800</v>
      </c>
      <c r="D19" s="20" t="s">
        <v>1847</v>
      </c>
      <c r="E19" s="20" t="s">
        <v>1844</v>
      </c>
      <c r="F19" s="20" t="s">
        <v>1848</v>
      </c>
      <c r="G19" s="17" t="s">
        <v>1782</v>
      </c>
      <c r="H19" s="18"/>
      <c r="I19" s="18"/>
      <c r="J19" s="18"/>
    </row>
    <row r="20" customFormat="false" ht="23.85" hidden="false" customHeight="false" outlineLevel="0" collapsed="false">
      <c r="A20" s="19" t="s">
        <v>1849</v>
      </c>
      <c r="B20" s="20" t="s">
        <v>43</v>
      </c>
      <c r="C20" s="20" t="s">
        <v>1792</v>
      </c>
      <c r="D20" s="20" t="s">
        <v>1850</v>
      </c>
      <c r="E20" s="20" t="s">
        <v>1851</v>
      </c>
      <c r="F20" s="20" t="s">
        <v>1852</v>
      </c>
      <c r="G20" s="17" t="s">
        <v>1782</v>
      </c>
      <c r="H20" s="18"/>
      <c r="I20" s="18"/>
      <c r="J20" s="18"/>
    </row>
    <row r="21" customFormat="false" ht="23.85" hidden="false" customHeight="false" outlineLevel="0" collapsed="false">
      <c r="A21" s="19" t="s">
        <v>1853</v>
      </c>
      <c r="B21" s="20" t="s">
        <v>43</v>
      </c>
      <c r="C21" s="20" t="s">
        <v>1792</v>
      </c>
      <c r="D21" s="20" t="s">
        <v>1854</v>
      </c>
      <c r="E21" s="20" t="s">
        <v>1855</v>
      </c>
      <c r="F21" s="20" t="s">
        <v>1856</v>
      </c>
      <c r="G21" s="17" t="s">
        <v>1782</v>
      </c>
      <c r="H21" s="18"/>
      <c r="I21" s="18"/>
      <c r="J21" s="18"/>
    </row>
    <row r="22" customFormat="false" ht="23.85" hidden="false" customHeight="false" outlineLevel="0" collapsed="false">
      <c r="A22" s="19" t="s">
        <v>1857</v>
      </c>
      <c r="B22" s="20" t="s">
        <v>43</v>
      </c>
      <c r="C22" s="20" t="s">
        <v>1792</v>
      </c>
      <c r="D22" s="20" t="s">
        <v>1858</v>
      </c>
      <c r="E22" s="20" t="s">
        <v>1859</v>
      </c>
      <c r="F22" s="20" t="s">
        <v>1860</v>
      </c>
      <c r="G22" s="17" t="s">
        <v>1782</v>
      </c>
      <c r="H22" s="18"/>
      <c r="I22" s="18"/>
      <c r="J22" s="18"/>
    </row>
    <row r="23" customFormat="false" ht="23.85" hidden="false" customHeight="false" outlineLevel="0" collapsed="false">
      <c r="A23" s="19" t="s">
        <v>1861</v>
      </c>
      <c r="B23" s="20" t="s">
        <v>43</v>
      </c>
      <c r="C23" s="20" t="s">
        <v>1778</v>
      </c>
      <c r="D23" s="20" t="s">
        <v>1862</v>
      </c>
      <c r="E23" s="20" t="s">
        <v>1863</v>
      </c>
      <c r="F23" s="20" t="s">
        <v>1864</v>
      </c>
      <c r="G23" s="17" t="s">
        <v>1782</v>
      </c>
      <c r="H23" s="18"/>
      <c r="I23" s="18"/>
      <c r="J23" s="18"/>
    </row>
    <row r="24" customFormat="false" ht="15" hidden="false" customHeight="false" outlineLevel="0" collapsed="false">
      <c r="A24" s="19" t="s">
        <v>1865</v>
      </c>
      <c r="B24" s="20" t="s">
        <v>43</v>
      </c>
      <c r="C24" s="20" t="s">
        <v>1778</v>
      </c>
      <c r="D24" s="20" t="s">
        <v>1866</v>
      </c>
      <c r="E24" s="20" t="s">
        <v>1867</v>
      </c>
      <c r="F24" s="20" t="s">
        <v>1803</v>
      </c>
      <c r="G24" s="17" t="s">
        <v>1782</v>
      </c>
      <c r="H24" s="18"/>
      <c r="I24" s="18"/>
      <c r="J24" s="18"/>
    </row>
    <row r="25" customFormat="false" ht="23.85" hidden="false" customHeight="false" outlineLevel="0" collapsed="false">
      <c r="A25" s="19" t="s">
        <v>1868</v>
      </c>
      <c r="B25" s="20" t="s">
        <v>43</v>
      </c>
      <c r="C25" s="20" t="s">
        <v>1792</v>
      </c>
      <c r="D25" s="20" t="s">
        <v>1869</v>
      </c>
      <c r="E25" s="20" t="s">
        <v>1870</v>
      </c>
      <c r="F25" s="20" t="s">
        <v>1871</v>
      </c>
      <c r="G25" s="17" t="s">
        <v>1782</v>
      </c>
      <c r="H25" s="18"/>
      <c r="I25" s="18"/>
      <c r="J25" s="18"/>
    </row>
    <row r="26" customFormat="false" ht="23.85" hidden="false" customHeight="false" outlineLevel="0" collapsed="false">
      <c r="A26" s="19" t="s">
        <v>1872</v>
      </c>
      <c r="B26" s="20" t="s">
        <v>43</v>
      </c>
      <c r="C26" s="20" t="s">
        <v>1778</v>
      </c>
      <c r="D26" s="20" t="s">
        <v>1873</v>
      </c>
      <c r="E26" s="20" t="s">
        <v>1874</v>
      </c>
      <c r="F26" s="20" t="s">
        <v>1875</v>
      </c>
      <c r="G26" s="17" t="s">
        <v>1782</v>
      </c>
      <c r="H26" s="18"/>
      <c r="I26" s="18"/>
      <c r="J26" s="18"/>
    </row>
    <row r="27" customFormat="false" ht="35.05" hidden="false" customHeight="false" outlineLevel="0" collapsed="false">
      <c r="A27" s="19" t="s">
        <v>1876</v>
      </c>
      <c r="B27" s="20" t="s">
        <v>43</v>
      </c>
      <c r="C27" s="20" t="s">
        <v>1792</v>
      </c>
      <c r="D27" s="20" t="s">
        <v>1877</v>
      </c>
      <c r="E27" s="20" t="s">
        <v>1878</v>
      </c>
      <c r="F27" s="20" t="s">
        <v>1803</v>
      </c>
      <c r="G27" s="17" t="s">
        <v>1782</v>
      </c>
      <c r="H27" s="18"/>
      <c r="I27" s="18"/>
      <c r="J27" s="18"/>
    </row>
    <row r="28" customFormat="false" ht="23.85" hidden="false" customHeight="false" outlineLevel="0" collapsed="false">
      <c r="A28" s="19" t="s">
        <v>1879</v>
      </c>
      <c r="B28" s="20" t="s">
        <v>44</v>
      </c>
      <c r="C28" s="20" t="s">
        <v>1778</v>
      </c>
      <c r="D28" s="20" t="s">
        <v>1880</v>
      </c>
      <c r="E28" s="20" t="s">
        <v>1881</v>
      </c>
      <c r="F28" s="20" t="s">
        <v>1882</v>
      </c>
      <c r="G28" s="17" t="s">
        <v>1782</v>
      </c>
      <c r="H28" s="18"/>
      <c r="I28" s="18"/>
      <c r="J28" s="18"/>
    </row>
    <row r="29" customFormat="false" ht="15" hidden="false" customHeight="false" outlineLevel="0" collapsed="false">
      <c r="A29" s="19" t="s">
        <v>1883</v>
      </c>
      <c r="B29" s="20" t="s">
        <v>44</v>
      </c>
      <c r="C29" s="20" t="s">
        <v>1792</v>
      </c>
      <c r="D29" s="20" t="s">
        <v>1884</v>
      </c>
      <c r="E29" s="20" t="s">
        <v>1527</v>
      </c>
      <c r="F29" s="20" t="s">
        <v>1885</v>
      </c>
      <c r="G29" s="17" t="s">
        <v>1782</v>
      </c>
      <c r="H29" s="18"/>
      <c r="I29" s="18"/>
      <c r="J29" s="18"/>
    </row>
    <row r="30" customFormat="false" ht="15" hidden="false" customHeight="false" outlineLevel="0" collapsed="false">
      <c r="A30" s="19" t="s">
        <v>1886</v>
      </c>
      <c r="B30" s="20" t="s">
        <v>44</v>
      </c>
      <c r="C30" s="20" t="s">
        <v>1792</v>
      </c>
      <c r="D30" s="20" t="s">
        <v>1887</v>
      </c>
      <c r="E30" s="20" t="s">
        <v>1527</v>
      </c>
      <c r="F30" s="20" t="s">
        <v>1888</v>
      </c>
      <c r="G30" s="17" t="s">
        <v>1782</v>
      </c>
      <c r="H30" s="18"/>
      <c r="I30" s="18"/>
      <c r="J30" s="18"/>
    </row>
    <row r="31" customFormat="false" ht="23.85" hidden="false" customHeight="false" outlineLevel="0" collapsed="false">
      <c r="A31" s="19" t="s">
        <v>1889</v>
      </c>
      <c r="B31" s="20" t="s">
        <v>1890</v>
      </c>
      <c r="C31" s="20" t="s">
        <v>30</v>
      </c>
      <c r="D31" s="20" t="s">
        <v>1891</v>
      </c>
      <c r="E31" s="20" t="s">
        <v>1807</v>
      </c>
      <c r="F31" s="20" t="s">
        <v>1892</v>
      </c>
      <c r="G31" s="17" t="s">
        <v>1782</v>
      </c>
      <c r="H31" s="18"/>
      <c r="I31" s="18"/>
      <c r="J31" s="18"/>
    </row>
    <row r="32" customFormat="false" ht="23.85" hidden="false" customHeight="false" outlineLevel="0" collapsed="false">
      <c r="A32" s="19" t="s">
        <v>1893</v>
      </c>
      <c r="B32" s="20" t="s">
        <v>1890</v>
      </c>
      <c r="C32" s="20" t="s">
        <v>1778</v>
      </c>
      <c r="D32" s="20" t="s">
        <v>1894</v>
      </c>
      <c r="E32" s="20" t="s">
        <v>1665</v>
      </c>
      <c r="F32" s="20" t="s">
        <v>1895</v>
      </c>
      <c r="G32" s="17" t="s">
        <v>1782</v>
      </c>
      <c r="H32" s="18"/>
      <c r="I32" s="18"/>
      <c r="J32" s="18"/>
    </row>
    <row r="33" customFormat="false" ht="23.85" hidden="false" customHeight="false" outlineLevel="0" collapsed="false">
      <c r="A33" s="19" t="s">
        <v>1896</v>
      </c>
      <c r="B33" s="20" t="s">
        <v>1890</v>
      </c>
      <c r="C33" s="20" t="s">
        <v>1800</v>
      </c>
      <c r="D33" s="20" t="s">
        <v>1897</v>
      </c>
      <c r="E33" s="20" t="s">
        <v>1740</v>
      </c>
      <c r="F33" s="20" t="s">
        <v>1898</v>
      </c>
      <c r="G33" s="17" t="s">
        <v>1782</v>
      </c>
      <c r="H33" s="18"/>
      <c r="I33" s="18"/>
      <c r="J33" s="18"/>
    </row>
    <row r="34" customFormat="false" ht="57.45" hidden="false" customHeight="false" outlineLevel="0" collapsed="false">
      <c r="A34" s="19" t="s">
        <v>1899</v>
      </c>
      <c r="B34" s="20" t="s">
        <v>1890</v>
      </c>
      <c r="C34" s="20" t="s">
        <v>1900</v>
      </c>
      <c r="D34" s="20" t="s">
        <v>1901</v>
      </c>
      <c r="E34" s="20" t="s">
        <v>1902</v>
      </c>
      <c r="F34" s="20" t="s">
        <v>1903</v>
      </c>
      <c r="G34" s="17" t="s">
        <v>1782</v>
      </c>
      <c r="H34" s="18"/>
      <c r="I34" s="18"/>
      <c r="J34" s="18"/>
    </row>
  </sheetData>
  <autoFilter ref="A1:J34"/>
  <dataValidations count="1">
    <dataValidation allowBlank="true" errorStyle="stop" operator="between" showDropDown="false" showErrorMessage="false" showInputMessage="false" sqref="G2:G500" type="list">
      <formula1>"Open,Confirmed bug,Fixed,Won't fix,Not a bug,Closed"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20"/>
  </cols>
  <sheetData>
    <row r="1" customFormat="false" ht="30" hidden="false" customHeight="true" outlineLevel="0" collapsed="false">
      <c r="A1" s="6" t="s">
        <v>1904</v>
      </c>
      <c r="B1" s="6" t="s">
        <v>24</v>
      </c>
      <c r="C1" s="6" t="s">
        <v>1905</v>
      </c>
      <c r="D1" s="6" t="s">
        <v>1906</v>
      </c>
      <c r="E1" s="6" t="s">
        <v>62</v>
      </c>
      <c r="F1" s="6" t="s">
        <v>1907</v>
      </c>
      <c r="G1" s="6" t="s">
        <v>1908</v>
      </c>
    </row>
    <row r="2" customFormat="false" ht="15" hidden="false" customHeight="false" outlineLevel="0" collapsed="false">
      <c r="A2" s="19" t="n">
        <v>1</v>
      </c>
      <c r="B2" s="20" t="s">
        <v>41</v>
      </c>
      <c r="C2" s="20" t="s">
        <v>1909</v>
      </c>
      <c r="D2" s="20" t="s">
        <v>1910</v>
      </c>
      <c r="E2" s="17" t="s">
        <v>1782</v>
      </c>
      <c r="F2" s="18"/>
      <c r="G2" s="18"/>
    </row>
    <row r="3" customFormat="false" ht="23.85" hidden="false" customHeight="false" outlineLevel="0" collapsed="false">
      <c r="A3" s="19" t="n">
        <v>2</v>
      </c>
      <c r="B3" s="20" t="s">
        <v>41</v>
      </c>
      <c r="C3" s="20" t="s">
        <v>1911</v>
      </c>
      <c r="D3" s="20" t="s">
        <v>1910</v>
      </c>
      <c r="E3" s="17" t="s">
        <v>1782</v>
      </c>
      <c r="F3" s="18"/>
      <c r="G3" s="18"/>
    </row>
    <row r="4" customFormat="false" ht="23.85" hidden="false" customHeight="false" outlineLevel="0" collapsed="false">
      <c r="A4" s="19" t="n">
        <v>3</v>
      </c>
      <c r="B4" s="20" t="s">
        <v>41</v>
      </c>
      <c r="C4" s="20" t="s">
        <v>1912</v>
      </c>
      <c r="D4" s="20" t="s">
        <v>1910</v>
      </c>
      <c r="E4" s="17" t="s">
        <v>1782</v>
      </c>
      <c r="F4" s="18"/>
      <c r="G4" s="18"/>
    </row>
    <row r="5" customFormat="false" ht="23.85" hidden="false" customHeight="false" outlineLevel="0" collapsed="false">
      <c r="A5" s="19" t="n">
        <v>4</v>
      </c>
      <c r="B5" s="20" t="s">
        <v>41</v>
      </c>
      <c r="C5" s="20" t="s">
        <v>1913</v>
      </c>
      <c r="D5" s="20" t="s">
        <v>1914</v>
      </c>
      <c r="E5" s="17" t="s">
        <v>1782</v>
      </c>
      <c r="F5" s="18"/>
      <c r="G5" s="18"/>
    </row>
    <row r="6" customFormat="false" ht="15" hidden="false" customHeight="false" outlineLevel="0" collapsed="false">
      <c r="A6" s="19" t="n">
        <v>5</v>
      </c>
      <c r="B6" s="20" t="s">
        <v>41</v>
      </c>
      <c r="C6" s="20" t="s">
        <v>1915</v>
      </c>
      <c r="D6" s="20" t="s">
        <v>1910</v>
      </c>
      <c r="E6" s="17" t="s">
        <v>1782</v>
      </c>
      <c r="F6" s="18"/>
      <c r="G6" s="18"/>
    </row>
    <row r="7" customFormat="false" ht="15" hidden="false" customHeight="false" outlineLevel="0" collapsed="false">
      <c r="A7" s="19" t="n">
        <v>6</v>
      </c>
      <c r="B7" s="20" t="s">
        <v>41</v>
      </c>
      <c r="C7" s="20" t="s">
        <v>1916</v>
      </c>
      <c r="D7" s="20" t="s">
        <v>1910</v>
      </c>
      <c r="E7" s="17" t="s">
        <v>1782</v>
      </c>
      <c r="F7" s="18"/>
      <c r="G7" s="18"/>
    </row>
    <row r="8" customFormat="false" ht="23.85" hidden="false" customHeight="false" outlineLevel="0" collapsed="false">
      <c r="A8" s="19" t="n">
        <v>7</v>
      </c>
      <c r="B8" s="20" t="s">
        <v>41</v>
      </c>
      <c r="C8" s="20" t="s">
        <v>1917</v>
      </c>
      <c r="D8" s="20" t="s">
        <v>1910</v>
      </c>
      <c r="E8" s="17" t="s">
        <v>1782</v>
      </c>
      <c r="F8" s="18"/>
      <c r="G8" s="18"/>
    </row>
    <row r="9" customFormat="false" ht="15" hidden="false" customHeight="false" outlineLevel="0" collapsed="false">
      <c r="A9" s="19" t="n">
        <v>8</v>
      </c>
      <c r="B9" s="20" t="s">
        <v>41</v>
      </c>
      <c r="C9" s="20" t="s">
        <v>1918</v>
      </c>
      <c r="D9" s="20" t="s">
        <v>1910</v>
      </c>
      <c r="E9" s="17" t="s">
        <v>1782</v>
      </c>
      <c r="F9" s="18"/>
      <c r="G9" s="18"/>
    </row>
    <row r="10" customFormat="false" ht="15" hidden="false" customHeight="false" outlineLevel="0" collapsed="false">
      <c r="A10" s="19" t="n">
        <v>9</v>
      </c>
      <c r="B10" s="20" t="s">
        <v>41</v>
      </c>
      <c r="C10" s="20" t="s">
        <v>1919</v>
      </c>
      <c r="D10" s="20" t="s">
        <v>1920</v>
      </c>
      <c r="E10" s="17" t="s">
        <v>1782</v>
      </c>
      <c r="F10" s="18"/>
      <c r="G10" s="18"/>
    </row>
    <row r="11" customFormat="false" ht="15" hidden="false" customHeight="false" outlineLevel="0" collapsed="false">
      <c r="A11" s="19" t="n">
        <v>10</v>
      </c>
      <c r="B11" s="20" t="s">
        <v>42</v>
      </c>
      <c r="C11" s="20" t="s">
        <v>1921</v>
      </c>
      <c r="D11" s="20" t="s">
        <v>1910</v>
      </c>
      <c r="E11" s="17" t="s">
        <v>1782</v>
      </c>
      <c r="F11" s="18"/>
      <c r="G11" s="18"/>
    </row>
    <row r="12" customFormat="false" ht="15" hidden="false" customHeight="false" outlineLevel="0" collapsed="false">
      <c r="A12" s="19" t="n">
        <v>11</v>
      </c>
      <c r="B12" s="20" t="s">
        <v>42</v>
      </c>
      <c r="C12" s="20" t="s">
        <v>1922</v>
      </c>
      <c r="D12" s="20" t="s">
        <v>1910</v>
      </c>
      <c r="E12" s="17" t="s">
        <v>1782</v>
      </c>
      <c r="F12" s="18"/>
      <c r="G12" s="18"/>
    </row>
    <row r="13" customFormat="false" ht="23.85" hidden="false" customHeight="false" outlineLevel="0" collapsed="false">
      <c r="A13" s="19" t="n">
        <v>12</v>
      </c>
      <c r="B13" s="20" t="s">
        <v>42</v>
      </c>
      <c r="C13" s="20" t="s">
        <v>1923</v>
      </c>
      <c r="D13" s="20" t="s">
        <v>1910</v>
      </c>
      <c r="E13" s="17" t="s">
        <v>1782</v>
      </c>
      <c r="F13" s="18"/>
      <c r="G13" s="18"/>
    </row>
    <row r="14" customFormat="false" ht="15" hidden="false" customHeight="false" outlineLevel="0" collapsed="false">
      <c r="A14" s="19" t="n">
        <v>13</v>
      </c>
      <c r="B14" s="20" t="s">
        <v>42</v>
      </c>
      <c r="C14" s="20" t="s">
        <v>1924</v>
      </c>
      <c r="D14" s="20" t="s">
        <v>1910</v>
      </c>
      <c r="E14" s="17" t="s">
        <v>1782</v>
      </c>
      <c r="F14" s="18"/>
      <c r="G14" s="18"/>
    </row>
    <row r="15" customFormat="false" ht="15" hidden="false" customHeight="false" outlineLevel="0" collapsed="false">
      <c r="A15" s="19" t="n">
        <v>14</v>
      </c>
      <c r="B15" s="20" t="s">
        <v>42</v>
      </c>
      <c r="C15" s="20" t="s">
        <v>1925</v>
      </c>
      <c r="D15" s="20" t="s">
        <v>1910</v>
      </c>
      <c r="E15" s="17" t="s">
        <v>1782</v>
      </c>
      <c r="F15" s="18"/>
      <c r="G15" s="18"/>
    </row>
    <row r="16" customFormat="false" ht="15" hidden="false" customHeight="false" outlineLevel="0" collapsed="false">
      <c r="A16" s="19" t="n">
        <v>15</v>
      </c>
      <c r="B16" s="20" t="s">
        <v>42</v>
      </c>
      <c r="C16" s="20" t="s">
        <v>1926</v>
      </c>
      <c r="D16" s="20" t="s">
        <v>1927</v>
      </c>
      <c r="E16" s="17" t="s">
        <v>1782</v>
      </c>
      <c r="F16" s="18"/>
      <c r="G16" s="18"/>
    </row>
    <row r="17" customFormat="false" ht="15" hidden="false" customHeight="false" outlineLevel="0" collapsed="false">
      <c r="A17" s="19" t="n">
        <v>16</v>
      </c>
      <c r="B17" s="20" t="s">
        <v>42</v>
      </c>
      <c r="C17" s="20" t="s">
        <v>1928</v>
      </c>
      <c r="D17" s="20" t="s">
        <v>1910</v>
      </c>
      <c r="E17" s="17" t="s">
        <v>1782</v>
      </c>
      <c r="F17" s="18"/>
      <c r="G17" s="18"/>
    </row>
    <row r="18" customFormat="false" ht="23.85" hidden="false" customHeight="false" outlineLevel="0" collapsed="false">
      <c r="A18" s="19" t="n">
        <v>17</v>
      </c>
      <c r="B18" s="20" t="s">
        <v>42</v>
      </c>
      <c r="C18" s="20" t="s">
        <v>1929</v>
      </c>
      <c r="D18" s="20" t="s">
        <v>1927</v>
      </c>
      <c r="E18" s="17" t="s">
        <v>1782</v>
      </c>
      <c r="F18" s="18"/>
      <c r="G18" s="18"/>
    </row>
    <row r="19" customFormat="false" ht="15" hidden="false" customHeight="false" outlineLevel="0" collapsed="false">
      <c r="A19" s="19" t="n">
        <v>18</v>
      </c>
      <c r="B19" s="20" t="s">
        <v>43</v>
      </c>
      <c r="C19" s="20" t="s">
        <v>1930</v>
      </c>
      <c r="D19" s="20" t="s">
        <v>1910</v>
      </c>
      <c r="E19" s="17" t="s">
        <v>1782</v>
      </c>
      <c r="F19" s="18"/>
      <c r="G19" s="18"/>
    </row>
    <row r="20" customFormat="false" ht="15" hidden="false" customHeight="false" outlineLevel="0" collapsed="false">
      <c r="A20" s="19" t="n">
        <v>19</v>
      </c>
      <c r="B20" s="20" t="s">
        <v>43</v>
      </c>
      <c r="C20" s="20" t="s">
        <v>1931</v>
      </c>
      <c r="D20" s="20" t="s">
        <v>1910</v>
      </c>
      <c r="E20" s="17" t="s">
        <v>1782</v>
      </c>
      <c r="F20" s="18"/>
      <c r="G20" s="18"/>
    </row>
    <row r="21" customFormat="false" ht="23.85" hidden="false" customHeight="false" outlineLevel="0" collapsed="false">
      <c r="A21" s="19" t="n">
        <v>20</v>
      </c>
      <c r="B21" s="20" t="s">
        <v>43</v>
      </c>
      <c r="C21" s="20" t="s">
        <v>1932</v>
      </c>
      <c r="D21" s="20" t="s">
        <v>1910</v>
      </c>
      <c r="E21" s="17" t="s">
        <v>1782</v>
      </c>
      <c r="F21" s="18"/>
      <c r="G21" s="18"/>
    </row>
    <row r="22" customFormat="false" ht="15" hidden="false" customHeight="false" outlineLevel="0" collapsed="false">
      <c r="A22" s="19" t="n">
        <v>21</v>
      </c>
      <c r="B22" s="20" t="s">
        <v>43</v>
      </c>
      <c r="C22" s="20" t="s">
        <v>1933</v>
      </c>
      <c r="D22" s="20" t="s">
        <v>1910</v>
      </c>
      <c r="E22" s="17" t="s">
        <v>1782</v>
      </c>
      <c r="F22" s="18"/>
      <c r="G22" s="18"/>
    </row>
    <row r="23" customFormat="false" ht="15" hidden="false" customHeight="false" outlineLevel="0" collapsed="false">
      <c r="A23" s="19" t="n">
        <v>22</v>
      </c>
      <c r="B23" s="20" t="s">
        <v>43</v>
      </c>
      <c r="C23" s="20" t="s">
        <v>1934</v>
      </c>
      <c r="D23" s="20" t="s">
        <v>1910</v>
      </c>
      <c r="E23" s="17" t="s">
        <v>1782</v>
      </c>
      <c r="F23" s="18"/>
      <c r="G23" s="18"/>
    </row>
    <row r="24" customFormat="false" ht="15" hidden="false" customHeight="false" outlineLevel="0" collapsed="false">
      <c r="A24" s="19" t="n">
        <v>23</v>
      </c>
      <c r="B24" s="20" t="s">
        <v>43</v>
      </c>
      <c r="C24" s="20" t="s">
        <v>1935</v>
      </c>
      <c r="D24" s="20" t="s">
        <v>1910</v>
      </c>
      <c r="E24" s="17" t="s">
        <v>1782</v>
      </c>
      <c r="F24" s="18"/>
      <c r="G24" s="18"/>
    </row>
    <row r="25" customFormat="false" ht="23.85" hidden="false" customHeight="false" outlineLevel="0" collapsed="false">
      <c r="A25" s="19" t="n">
        <v>24</v>
      </c>
      <c r="B25" s="20" t="s">
        <v>43</v>
      </c>
      <c r="C25" s="20" t="s">
        <v>1936</v>
      </c>
      <c r="D25" s="20" t="s">
        <v>1937</v>
      </c>
      <c r="E25" s="17" t="s">
        <v>1782</v>
      </c>
      <c r="F25" s="18"/>
      <c r="G25" s="18"/>
    </row>
    <row r="26" customFormat="false" ht="23.85" hidden="false" customHeight="false" outlineLevel="0" collapsed="false">
      <c r="A26" s="19" t="n">
        <v>25</v>
      </c>
      <c r="B26" s="20" t="s">
        <v>44</v>
      </c>
      <c r="C26" s="20" t="s">
        <v>1938</v>
      </c>
      <c r="D26" s="20" t="s">
        <v>1914</v>
      </c>
      <c r="E26" s="17" t="s">
        <v>1782</v>
      </c>
      <c r="F26" s="18"/>
      <c r="G26" s="18"/>
    </row>
    <row r="27" customFormat="false" ht="15" hidden="false" customHeight="false" outlineLevel="0" collapsed="false">
      <c r="A27" s="19" t="n">
        <v>26</v>
      </c>
      <c r="B27" s="20" t="s">
        <v>44</v>
      </c>
      <c r="C27" s="20" t="s">
        <v>1939</v>
      </c>
      <c r="D27" s="20" t="s">
        <v>1910</v>
      </c>
      <c r="E27" s="17" t="s">
        <v>1782</v>
      </c>
      <c r="F27" s="18"/>
      <c r="G27" s="18"/>
    </row>
    <row r="28" customFormat="false" ht="15" hidden="false" customHeight="false" outlineLevel="0" collapsed="false">
      <c r="A28" s="19" t="n">
        <v>27</v>
      </c>
      <c r="B28" s="20" t="s">
        <v>44</v>
      </c>
      <c r="C28" s="20" t="s">
        <v>1940</v>
      </c>
      <c r="D28" s="20" t="s">
        <v>1910</v>
      </c>
      <c r="E28" s="17" t="s">
        <v>1782</v>
      </c>
      <c r="F28" s="18"/>
      <c r="G28" s="18"/>
    </row>
    <row r="29" customFormat="false" ht="15" hidden="false" customHeight="false" outlineLevel="0" collapsed="false">
      <c r="A29" s="19" t="n">
        <v>28</v>
      </c>
      <c r="B29" s="20" t="s">
        <v>44</v>
      </c>
      <c r="C29" s="20" t="s">
        <v>1941</v>
      </c>
      <c r="D29" s="20" t="s">
        <v>1910</v>
      </c>
      <c r="E29" s="17" t="s">
        <v>1782</v>
      </c>
      <c r="F29" s="18"/>
      <c r="G29" s="18"/>
    </row>
    <row r="30" customFormat="false" ht="23.85" hidden="false" customHeight="false" outlineLevel="0" collapsed="false">
      <c r="A30" s="19" t="n">
        <v>29</v>
      </c>
      <c r="B30" s="20" t="s">
        <v>1890</v>
      </c>
      <c r="C30" s="20" t="s">
        <v>1942</v>
      </c>
      <c r="D30" s="20" t="s">
        <v>1910</v>
      </c>
      <c r="E30" s="17" t="s">
        <v>1782</v>
      </c>
      <c r="F30" s="18"/>
      <c r="G30" s="18"/>
    </row>
    <row r="31" customFormat="false" ht="15" hidden="false" customHeight="false" outlineLevel="0" collapsed="false">
      <c r="A31" s="19" t="n">
        <v>30</v>
      </c>
      <c r="B31" s="20" t="s">
        <v>1890</v>
      </c>
      <c r="C31" s="20" t="s">
        <v>1943</v>
      </c>
      <c r="D31" s="20" t="s">
        <v>1910</v>
      </c>
      <c r="E31" s="17" t="s">
        <v>1782</v>
      </c>
      <c r="F31" s="18"/>
      <c r="G31" s="18"/>
    </row>
    <row r="32" customFormat="false" ht="15" hidden="false" customHeight="false" outlineLevel="0" collapsed="false">
      <c r="A32" s="19" t="n">
        <v>31</v>
      </c>
      <c r="B32" s="20" t="s">
        <v>1890</v>
      </c>
      <c r="C32" s="20" t="s">
        <v>1944</v>
      </c>
      <c r="D32" s="20" t="s">
        <v>1945</v>
      </c>
      <c r="E32" s="17" t="s">
        <v>1782</v>
      </c>
      <c r="F32" s="18"/>
      <c r="G32" s="18"/>
    </row>
  </sheetData>
  <autoFilter ref="A1:G32"/>
  <dataValidations count="1">
    <dataValidation allowBlank="true" errorStyle="stop" operator="between" showDropDown="false" showErrorMessage="false" showInputMessage="false" sqref="E2:E500" type="list">
      <formula1>"Open,Answered,Deferred"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6" t="s">
        <v>1904</v>
      </c>
      <c r="B1" s="6" t="s">
        <v>1946</v>
      </c>
      <c r="C1" s="6" t="s">
        <v>1947</v>
      </c>
      <c r="D1" s="6" t="s">
        <v>1948</v>
      </c>
      <c r="E1" s="6" t="s">
        <v>1949</v>
      </c>
      <c r="F1" s="6" t="s">
        <v>1950</v>
      </c>
      <c r="G1" s="6" t="s">
        <v>1951</v>
      </c>
      <c r="H1" s="6" t="s">
        <v>1952</v>
      </c>
      <c r="I1" s="6" t="s">
        <v>1953</v>
      </c>
      <c r="J1" s="6" t="s">
        <v>66</v>
      </c>
    </row>
    <row r="2" customFormat="false" ht="15" hidden="false" customHeight="false" outlineLevel="0" collapsed="false">
      <c r="A2" s="19" t="n">
        <v>1</v>
      </c>
      <c r="B2" s="19" t="s">
        <v>1954</v>
      </c>
      <c r="C2" s="20" t="s">
        <v>1955</v>
      </c>
      <c r="D2" s="20" t="s">
        <v>1956</v>
      </c>
      <c r="E2" s="20" t="s">
        <v>1738</v>
      </c>
      <c r="F2" s="19" t="s">
        <v>1957</v>
      </c>
      <c r="G2" s="17" t="s">
        <v>34</v>
      </c>
      <c r="H2" s="17" t="s">
        <v>34</v>
      </c>
      <c r="I2" s="17" t="s">
        <v>34</v>
      </c>
      <c r="J2" s="18"/>
    </row>
    <row r="3" customFormat="false" ht="15" hidden="false" customHeight="false" outlineLevel="0" collapsed="false">
      <c r="A3" s="19" t="n">
        <v>2</v>
      </c>
      <c r="B3" s="19" t="s">
        <v>1954</v>
      </c>
      <c r="C3" s="20" t="s">
        <v>1958</v>
      </c>
      <c r="D3" s="20" t="s">
        <v>1959</v>
      </c>
      <c r="E3" s="20" t="s">
        <v>1960</v>
      </c>
      <c r="F3" s="19" t="s">
        <v>1957</v>
      </c>
      <c r="G3" s="17" t="s">
        <v>34</v>
      </c>
      <c r="H3" s="17" t="s">
        <v>34</v>
      </c>
      <c r="I3" s="17" t="s">
        <v>34</v>
      </c>
      <c r="J3" s="18"/>
    </row>
    <row r="4" customFormat="false" ht="15" hidden="false" customHeight="false" outlineLevel="0" collapsed="false">
      <c r="A4" s="19" t="n">
        <v>3</v>
      </c>
      <c r="B4" s="19" t="s">
        <v>1961</v>
      </c>
      <c r="C4" s="20" t="s">
        <v>1962</v>
      </c>
      <c r="D4" s="20" t="s">
        <v>1963</v>
      </c>
      <c r="E4" s="20" t="s">
        <v>1964</v>
      </c>
      <c r="F4" s="19" t="s">
        <v>1965</v>
      </c>
      <c r="G4" s="17" t="s">
        <v>34</v>
      </c>
      <c r="H4" s="17" t="s">
        <v>34</v>
      </c>
      <c r="I4" s="17" t="s">
        <v>34</v>
      </c>
      <c r="J4" s="18"/>
    </row>
    <row r="5" customFormat="false" ht="15" hidden="false" customHeight="false" outlineLevel="0" collapsed="false">
      <c r="A5" s="19" t="n">
        <v>4</v>
      </c>
      <c r="B5" s="19" t="s">
        <v>1966</v>
      </c>
      <c r="C5" s="20" t="s">
        <v>1967</v>
      </c>
      <c r="D5" s="20" t="s">
        <v>1968</v>
      </c>
      <c r="E5" s="20" t="s">
        <v>1969</v>
      </c>
      <c r="F5" s="19" t="s">
        <v>1965</v>
      </c>
      <c r="G5" s="17" t="s">
        <v>34</v>
      </c>
      <c r="H5" s="17" t="s">
        <v>34</v>
      </c>
      <c r="I5" s="17" t="s">
        <v>34</v>
      </c>
      <c r="J5" s="18"/>
    </row>
    <row r="6" customFormat="false" ht="15" hidden="false" customHeight="false" outlineLevel="0" collapsed="false">
      <c r="A6" s="19" t="n">
        <v>5</v>
      </c>
      <c r="B6" s="19" t="s">
        <v>1954</v>
      </c>
      <c r="C6" s="20" t="s">
        <v>1970</v>
      </c>
      <c r="D6" s="20" t="s">
        <v>1971</v>
      </c>
      <c r="E6" s="20" t="s">
        <v>1738</v>
      </c>
      <c r="F6" s="19" t="s">
        <v>1957</v>
      </c>
      <c r="G6" s="17" t="s">
        <v>34</v>
      </c>
      <c r="H6" s="17" t="s">
        <v>34</v>
      </c>
      <c r="I6" s="17" t="s">
        <v>34</v>
      </c>
      <c r="J6" s="18"/>
    </row>
    <row r="7" customFormat="false" ht="15" hidden="false" customHeight="false" outlineLevel="0" collapsed="false">
      <c r="A7" s="19" t="n">
        <v>6</v>
      </c>
      <c r="B7" s="19" t="s">
        <v>1954</v>
      </c>
      <c r="C7" s="20" t="s">
        <v>1972</v>
      </c>
      <c r="D7" s="20" t="s">
        <v>1973</v>
      </c>
      <c r="E7" s="20" t="s">
        <v>1738</v>
      </c>
      <c r="F7" s="19" t="s">
        <v>1957</v>
      </c>
      <c r="G7" s="17" t="s">
        <v>34</v>
      </c>
      <c r="H7" s="17" t="s">
        <v>34</v>
      </c>
      <c r="I7" s="17" t="s">
        <v>34</v>
      </c>
      <c r="J7" s="18"/>
    </row>
    <row r="8" customFormat="false" ht="15" hidden="false" customHeight="false" outlineLevel="0" collapsed="false">
      <c r="A8" s="19" t="n">
        <v>7</v>
      </c>
      <c r="B8" s="19" t="s">
        <v>1954</v>
      </c>
      <c r="C8" s="20" t="s">
        <v>1974</v>
      </c>
      <c r="D8" s="20" t="s">
        <v>1975</v>
      </c>
      <c r="E8" s="20" t="s">
        <v>1976</v>
      </c>
      <c r="F8" s="19" t="s">
        <v>1957</v>
      </c>
      <c r="G8" s="17" t="s">
        <v>34</v>
      </c>
      <c r="H8" s="17" t="s">
        <v>34</v>
      </c>
      <c r="I8" s="17" t="s">
        <v>34</v>
      </c>
      <c r="J8" s="18"/>
    </row>
    <row r="9" customFormat="false" ht="15" hidden="false" customHeight="false" outlineLevel="0" collapsed="false">
      <c r="A9" s="19" t="n">
        <v>8</v>
      </c>
      <c r="B9" s="19" t="s">
        <v>1954</v>
      </c>
      <c r="C9" s="20" t="s">
        <v>1977</v>
      </c>
      <c r="D9" s="20" t="s">
        <v>1978</v>
      </c>
      <c r="E9" s="20" t="s">
        <v>92</v>
      </c>
      <c r="F9" s="19" t="s">
        <v>1957</v>
      </c>
      <c r="G9" s="17" t="s">
        <v>34</v>
      </c>
      <c r="H9" s="17" t="s">
        <v>34</v>
      </c>
      <c r="I9" s="17" t="s">
        <v>34</v>
      </c>
      <c r="J9" s="18"/>
    </row>
    <row r="10" customFormat="false" ht="15" hidden="false" customHeight="false" outlineLevel="0" collapsed="false">
      <c r="A10" s="19" t="n">
        <v>9</v>
      </c>
      <c r="B10" s="19" t="s">
        <v>1954</v>
      </c>
      <c r="C10" s="20" t="s">
        <v>1979</v>
      </c>
      <c r="D10" s="20" t="s">
        <v>1980</v>
      </c>
      <c r="E10" s="20" t="s">
        <v>92</v>
      </c>
      <c r="F10" s="19" t="s">
        <v>1957</v>
      </c>
      <c r="G10" s="17" t="s">
        <v>34</v>
      </c>
      <c r="H10" s="17" t="s">
        <v>34</v>
      </c>
      <c r="I10" s="17" t="s">
        <v>34</v>
      </c>
      <c r="J10" s="18"/>
    </row>
    <row r="11" customFormat="false" ht="15" hidden="false" customHeight="false" outlineLevel="0" collapsed="false">
      <c r="A11" s="19" t="n">
        <v>10</v>
      </c>
      <c r="B11" s="19" t="s">
        <v>1954</v>
      </c>
      <c r="C11" s="20" t="s">
        <v>1981</v>
      </c>
      <c r="D11" s="20" t="s">
        <v>1982</v>
      </c>
      <c r="E11" s="20" t="s">
        <v>92</v>
      </c>
      <c r="F11" s="19" t="s">
        <v>1957</v>
      </c>
      <c r="G11" s="17" t="s">
        <v>34</v>
      </c>
      <c r="H11" s="17" t="s">
        <v>34</v>
      </c>
      <c r="I11" s="17" t="s">
        <v>34</v>
      </c>
      <c r="J11" s="18"/>
    </row>
    <row r="12" customFormat="false" ht="15" hidden="false" customHeight="false" outlineLevel="0" collapsed="false">
      <c r="A12" s="19" t="n">
        <v>11</v>
      </c>
      <c r="B12" s="19" t="s">
        <v>1954</v>
      </c>
      <c r="C12" s="20" t="s">
        <v>1983</v>
      </c>
      <c r="D12" s="20" t="s">
        <v>1984</v>
      </c>
      <c r="E12" s="20" t="s">
        <v>92</v>
      </c>
      <c r="F12" s="19" t="s">
        <v>1957</v>
      </c>
      <c r="G12" s="17" t="s">
        <v>34</v>
      </c>
      <c r="H12" s="17" t="s">
        <v>34</v>
      </c>
      <c r="I12" s="17" t="s">
        <v>34</v>
      </c>
      <c r="J12" s="18"/>
    </row>
    <row r="13" customFormat="false" ht="15" hidden="false" customHeight="false" outlineLevel="0" collapsed="false">
      <c r="A13" s="19" t="n">
        <v>12</v>
      </c>
      <c r="B13" s="19" t="s">
        <v>1954</v>
      </c>
      <c r="C13" s="20" t="s">
        <v>1985</v>
      </c>
      <c r="D13" s="20" t="s">
        <v>1986</v>
      </c>
      <c r="E13" s="20" t="s">
        <v>92</v>
      </c>
      <c r="F13" s="19" t="s">
        <v>1957</v>
      </c>
      <c r="G13" s="17" t="s">
        <v>34</v>
      </c>
      <c r="H13" s="17" t="s">
        <v>34</v>
      </c>
      <c r="I13" s="17" t="s">
        <v>34</v>
      </c>
      <c r="J13" s="18"/>
    </row>
    <row r="14" customFormat="false" ht="15" hidden="false" customHeight="false" outlineLevel="0" collapsed="false">
      <c r="A14" s="19" t="n">
        <v>13</v>
      </c>
      <c r="B14" s="19" t="s">
        <v>1961</v>
      </c>
      <c r="C14" s="20" t="s">
        <v>1987</v>
      </c>
      <c r="D14" s="20" t="s">
        <v>1988</v>
      </c>
      <c r="E14" s="20" t="s">
        <v>92</v>
      </c>
      <c r="F14" s="19" t="s">
        <v>1957</v>
      </c>
      <c r="G14" s="17" t="s">
        <v>34</v>
      </c>
      <c r="H14" s="17" t="s">
        <v>34</v>
      </c>
      <c r="I14" s="17" t="s">
        <v>34</v>
      </c>
      <c r="J14" s="18"/>
    </row>
    <row r="15" customFormat="false" ht="15" hidden="false" customHeight="false" outlineLevel="0" collapsed="false">
      <c r="A15" s="19" t="n">
        <v>14</v>
      </c>
      <c r="B15" s="19" t="s">
        <v>1954</v>
      </c>
      <c r="C15" s="20" t="s">
        <v>1989</v>
      </c>
      <c r="D15" s="20" t="s">
        <v>1990</v>
      </c>
      <c r="E15" s="20" t="s">
        <v>92</v>
      </c>
      <c r="F15" s="19" t="s">
        <v>1957</v>
      </c>
      <c r="G15" s="17" t="s">
        <v>34</v>
      </c>
      <c r="H15" s="17" t="s">
        <v>34</v>
      </c>
      <c r="I15" s="17" t="s">
        <v>34</v>
      </c>
      <c r="J15" s="18"/>
    </row>
    <row r="16" customFormat="false" ht="15" hidden="false" customHeight="false" outlineLevel="0" collapsed="false">
      <c r="A16" s="19" t="n">
        <v>15</v>
      </c>
      <c r="B16" s="19" t="s">
        <v>1954</v>
      </c>
      <c r="C16" s="20" t="s">
        <v>1991</v>
      </c>
      <c r="D16" s="20" t="s">
        <v>1992</v>
      </c>
      <c r="E16" s="20" t="s">
        <v>92</v>
      </c>
      <c r="F16" s="19" t="s">
        <v>1957</v>
      </c>
      <c r="G16" s="17" t="s">
        <v>34</v>
      </c>
      <c r="H16" s="17" t="s">
        <v>34</v>
      </c>
      <c r="I16" s="17" t="s">
        <v>34</v>
      </c>
      <c r="J16" s="18"/>
    </row>
    <row r="17" customFormat="false" ht="15" hidden="false" customHeight="false" outlineLevel="0" collapsed="false">
      <c r="A17" s="19" t="n">
        <v>16</v>
      </c>
      <c r="B17" s="19" t="s">
        <v>1966</v>
      </c>
      <c r="C17" s="20" t="s">
        <v>1993</v>
      </c>
      <c r="D17" s="20" t="s">
        <v>1994</v>
      </c>
      <c r="E17" s="20" t="s">
        <v>92</v>
      </c>
      <c r="F17" s="19" t="s">
        <v>1965</v>
      </c>
      <c r="G17" s="17" t="s">
        <v>34</v>
      </c>
      <c r="H17" s="17" t="s">
        <v>34</v>
      </c>
      <c r="I17" s="17" t="s">
        <v>34</v>
      </c>
      <c r="J17" s="18"/>
    </row>
    <row r="18" customFormat="false" ht="15" hidden="false" customHeight="false" outlineLevel="0" collapsed="false">
      <c r="A18" s="19" t="n">
        <v>17</v>
      </c>
      <c r="B18" s="19" t="s">
        <v>1995</v>
      </c>
      <c r="C18" s="20" t="s">
        <v>1996</v>
      </c>
      <c r="D18" s="20" t="s">
        <v>1997</v>
      </c>
      <c r="E18" s="20" t="s">
        <v>92</v>
      </c>
      <c r="F18" s="19" t="s">
        <v>1965</v>
      </c>
      <c r="G18" s="17" t="s">
        <v>34</v>
      </c>
      <c r="H18" s="17" t="s">
        <v>34</v>
      </c>
      <c r="I18" s="17" t="s">
        <v>34</v>
      </c>
      <c r="J18" s="18"/>
    </row>
    <row r="19" customFormat="false" ht="15" hidden="false" customHeight="false" outlineLevel="0" collapsed="false">
      <c r="A19" s="19" t="n">
        <v>18</v>
      </c>
      <c r="B19" s="19" t="s">
        <v>1961</v>
      </c>
      <c r="C19" s="20" t="s">
        <v>1998</v>
      </c>
      <c r="D19" s="20" t="s">
        <v>1999</v>
      </c>
      <c r="E19" s="20" t="s">
        <v>92</v>
      </c>
      <c r="F19" s="19" t="s">
        <v>1965</v>
      </c>
      <c r="G19" s="17" t="s">
        <v>34</v>
      </c>
      <c r="H19" s="17" t="s">
        <v>34</v>
      </c>
      <c r="I19" s="17" t="s">
        <v>34</v>
      </c>
      <c r="J19" s="18"/>
    </row>
    <row r="20" customFormat="false" ht="15" hidden="false" customHeight="false" outlineLevel="0" collapsed="false">
      <c r="A20" s="19" t="n">
        <v>19</v>
      </c>
      <c r="B20" s="19" t="s">
        <v>1961</v>
      </c>
      <c r="C20" s="20" t="s">
        <v>1985</v>
      </c>
      <c r="D20" s="20" t="s">
        <v>2000</v>
      </c>
      <c r="E20" s="20" t="s">
        <v>92</v>
      </c>
      <c r="F20" s="19" t="s">
        <v>1965</v>
      </c>
      <c r="G20" s="17" t="s">
        <v>34</v>
      </c>
      <c r="H20" s="17" t="s">
        <v>34</v>
      </c>
      <c r="I20" s="17" t="s">
        <v>34</v>
      </c>
      <c r="J20" s="18"/>
    </row>
    <row r="21" customFormat="false" ht="15" hidden="false" customHeight="false" outlineLevel="0" collapsed="false">
      <c r="A21" s="19" t="n">
        <v>20</v>
      </c>
      <c r="B21" s="19" t="s">
        <v>1966</v>
      </c>
      <c r="C21" s="20" t="s">
        <v>2001</v>
      </c>
      <c r="D21" s="20" t="s">
        <v>2002</v>
      </c>
      <c r="E21" s="20" t="s">
        <v>92</v>
      </c>
      <c r="F21" s="19" t="s">
        <v>1965</v>
      </c>
      <c r="G21" s="17" t="s">
        <v>34</v>
      </c>
      <c r="H21" s="17" t="s">
        <v>34</v>
      </c>
      <c r="I21" s="17" t="s">
        <v>34</v>
      </c>
      <c r="J21" s="18"/>
    </row>
    <row r="22" customFormat="false" ht="15" hidden="false" customHeight="false" outlineLevel="0" collapsed="false">
      <c r="A22" s="19" t="n">
        <v>21</v>
      </c>
      <c r="B22" s="19" t="s">
        <v>1961</v>
      </c>
      <c r="C22" s="20" t="s">
        <v>2003</v>
      </c>
      <c r="D22" s="20" t="s">
        <v>2004</v>
      </c>
      <c r="E22" s="20" t="s">
        <v>92</v>
      </c>
      <c r="F22" s="19" t="s">
        <v>1965</v>
      </c>
      <c r="G22" s="17" t="s">
        <v>34</v>
      </c>
      <c r="H22" s="17" t="s">
        <v>34</v>
      </c>
      <c r="I22" s="17" t="s">
        <v>34</v>
      </c>
      <c r="J22" s="18"/>
    </row>
    <row r="23" customFormat="false" ht="15" hidden="false" customHeight="false" outlineLevel="0" collapsed="false">
      <c r="A23" s="19" t="n">
        <v>22</v>
      </c>
      <c r="B23" s="19" t="s">
        <v>1961</v>
      </c>
      <c r="C23" s="20" t="s">
        <v>1974</v>
      </c>
      <c r="D23" s="20" t="s">
        <v>2005</v>
      </c>
      <c r="E23" s="20" t="s">
        <v>2006</v>
      </c>
      <c r="F23" s="19" t="s">
        <v>1965</v>
      </c>
      <c r="G23" s="17" t="s">
        <v>34</v>
      </c>
      <c r="H23" s="17" t="s">
        <v>34</v>
      </c>
      <c r="I23" s="17" t="s">
        <v>34</v>
      </c>
      <c r="J23" s="18"/>
    </row>
    <row r="24" customFormat="false" ht="15" hidden="false" customHeight="false" outlineLevel="0" collapsed="false">
      <c r="A24" s="19" t="n">
        <v>23</v>
      </c>
      <c r="B24" s="19" t="s">
        <v>1966</v>
      </c>
      <c r="C24" s="20" t="s">
        <v>1977</v>
      </c>
      <c r="D24" s="20" t="s">
        <v>2007</v>
      </c>
      <c r="E24" s="20" t="s">
        <v>92</v>
      </c>
      <c r="F24" s="19" t="s">
        <v>1965</v>
      </c>
      <c r="G24" s="17" t="s">
        <v>34</v>
      </c>
      <c r="H24" s="17" t="s">
        <v>34</v>
      </c>
      <c r="I24" s="17" t="s">
        <v>34</v>
      </c>
      <c r="J24" s="18"/>
    </row>
    <row r="25" customFormat="false" ht="15" hidden="false" customHeight="false" outlineLevel="0" collapsed="false">
      <c r="A25" s="19" t="n">
        <v>24</v>
      </c>
      <c r="B25" s="19" t="s">
        <v>1961</v>
      </c>
      <c r="C25" s="20" t="s">
        <v>2008</v>
      </c>
      <c r="D25" s="20" t="s">
        <v>2009</v>
      </c>
      <c r="E25" s="20" t="s">
        <v>92</v>
      </c>
      <c r="F25" s="19" t="s">
        <v>1965</v>
      </c>
      <c r="G25" s="17" t="s">
        <v>34</v>
      </c>
      <c r="H25" s="17" t="s">
        <v>34</v>
      </c>
      <c r="I25" s="17" t="s">
        <v>34</v>
      </c>
      <c r="J25" s="18"/>
    </row>
    <row r="26" customFormat="false" ht="15" hidden="false" customHeight="false" outlineLevel="0" collapsed="false">
      <c r="A26" s="19" t="n">
        <v>25</v>
      </c>
      <c r="B26" s="19" t="s">
        <v>1961</v>
      </c>
      <c r="C26" s="20" t="s">
        <v>2010</v>
      </c>
      <c r="D26" s="20" t="s">
        <v>2011</v>
      </c>
      <c r="E26" s="20" t="s">
        <v>92</v>
      </c>
      <c r="F26" s="19" t="s">
        <v>1965</v>
      </c>
      <c r="G26" s="17" t="s">
        <v>34</v>
      </c>
      <c r="H26" s="17" t="s">
        <v>34</v>
      </c>
      <c r="I26" s="17" t="s">
        <v>34</v>
      </c>
      <c r="J26" s="18"/>
    </row>
    <row r="27" customFormat="false" ht="15" hidden="false" customHeight="false" outlineLevel="0" collapsed="false">
      <c r="A27" s="19" t="n">
        <v>26</v>
      </c>
      <c r="B27" s="19" t="s">
        <v>1961</v>
      </c>
      <c r="C27" s="20" t="s">
        <v>2012</v>
      </c>
      <c r="D27" s="20" t="s">
        <v>2013</v>
      </c>
      <c r="E27" s="20" t="s">
        <v>92</v>
      </c>
      <c r="F27" s="19" t="s">
        <v>1965</v>
      </c>
      <c r="G27" s="17" t="s">
        <v>34</v>
      </c>
      <c r="H27" s="17" t="s">
        <v>34</v>
      </c>
      <c r="I27" s="17" t="s">
        <v>34</v>
      </c>
      <c r="J27" s="18"/>
    </row>
    <row r="28" customFormat="false" ht="15" hidden="false" customHeight="false" outlineLevel="0" collapsed="false">
      <c r="A28" s="19" t="n">
        <v>27</v>
      </c>
      <c r="B28" s="19" t="s">
        <v>1961</v>
      </c>
      <c r="C28" s="20" t="s">
        <v>1989</v>
      </c>
      <c r="D28" s="20" t="s">
        <v>2014</v>
      </c>
      <c r="E28" s="20" t="s">
        <v>92</v>
      </c>
      <c r="F28" s="19" t="s">
        <v>1965</v>
      </c>
      <c r="G28" s="17" t="s">
        <v>34</v>
      </c>
      <c r="H28" s="17" t="s">
        <v>34</v>
      </c>
      <c r="I28" s="17" t="s">
        <v>34</v>
      </c>
      <c r="J28" s="18"/>
    </row>
    <row r="29" customFormat="false" ht="15" hidden="false" customHeight="false" outlineLevel="0" collapsed="false">
      <c r="A29" s="19" t="n">
        <v>28</v>
      </c>
      <c r="B29" s="19" t="s">
        <v>1966</v>
      </c>
      <c r="C29" s="20" t="s">
        <v>2015</v>
      </c>
      <c r="D29" s="20" t="s">
        <v>2016</v>
      </c>
      <c r="E29" s="20" t="s">
        <v>92</v>
      </c>
      <c r="F29" s="19" t="s">
        <v>1965</v>
      </c>
      <c r="G29" s="17" t="s">
        <v>34</v>
      </c>
      <c r="H29" s="17" t="s">
        <v>34</v>
      </c>
      <c r="I29" s="17" t="s">
        <v>34</v>
      </c>
      <c r="J29" s="18"/>
    </row>
    <row r="30" customFormat="false" ht="15" hidden="false" customHeight="false" outlineLevel="0" collapsed="false">
      <c r="A30" s="19" t="n">
        <v>29</v>
      </c>
      <c r="B30" s="19" t="s">
        <v>1961</v>
      </c>
      <c r="C30" s="20" t="s">
        <v>2017</v>
      </c>
      <c r="D30" s="20" t="s">
        <v>2018</v>
      </c>
      <c r="E30" s="20" t="s">
        <v>92</v>
      </c>
      <c r="F30" s="19" t="s">
        <v>1965</v>
      </c>
      <c r="G30" s="17" t="s">
        <v>34</v>
      </c>
      <c r="H30" s="17" t="s">
        <v>34</v>
      </c>
      <c r="I30" s="17" t="s">
        <v>34</v>
      </c>
      <c r="J30" s="18"/>
    </row>
    <row r="31" customFormat="false" ht="15" hidden="false" customHeight="false" outlineLevel="0" collapsed="false">
      <c r="A31" s="19" t="n">
        <v>30</v>
      </c>
      <c r="B31" s="19" t="s">
        <v>1961</v>
      </c>
      <c r="C31" s="20" t="s">
        <v>2019</v>
      </c>
      <c r="D31" s="20" t="s">
        <v>2020</v>
      </c>
      <c r="E31" s="20" t="s">
        <v>92</v>
      </c>
      <c r="F31" s="19" t="s">
        <v>1965</v>
      </c>
      <c r="G31" s="17" t="s">
        <v>34</v>
      </c>
      <c r="H31" s="17" t="s">
        <v>34</v>
      </c>
      <c r="I31" s="17" t="s">
        <v>34</v>
      </c>
      <c r="J31" s="18"/>
    </row>
    <row r="32" customFormat="false" ht="15" hidden="false" customHeight="false" outlineLevel="0" collapsed="false">
      <c r="A32" s="19" t="n">
        <v>31</v>
      </c>
      <c r="B32" s="19" t="s">
        <v>2021</v>
      </c>
      <c r="C32" s="20" t="s">
        <v>2015</v>
      </c>
      <c r="D32" s="20" t="s">
        <v>2022</v>
      </c>
      <c r="E32" s="20" t="s">
        <v>92</v>
      </c>
      <c r="F32" s="19" t="s">
        <v>1965</v>
      </c>
      <c r="G32" s="17" t="s">
        <v>34</v>
      </c>
      <c r="H32" s="17" t="s">
        <v>34</v>
      </c>
      <c r="I32" s="17" t="s">
        <v>34</v>
      </c>
      <c r="J32" s="18"/>
    </row>
    <row r="33" customFormat="false" ht="15" hidden="false" customHeight="false" outlineLevel="0" collapsed="false">
      <c r="A33" s="19" t="n">
        <v>32</v>
      </c>
      <c r="B33" s="19" t="s">
        <v>1954</v>
      </c>
      <c r="C33" s="20" t="s">
        <v>2023</v>
      </c>
      <c r="D33" s="20" t="s">
        <v>2024</v>
      </c>
      <c r="E33" s="20" t="s">
        <v>1969</v>
      </c>
      <c r="F33" s="19" t="s">
        <v>1957</v>
      </c>
      <c r="G33" s="17" t="s">
        <v>34</v>
      </c>
      <c r="H33" s="17" t="s">
        <v>34</v>
      </c>
      <c r="I33" s="17" t="s">
        <v>34</v>
      </c>
      <c r="J33" s="18"/>
    </row>
    <row r="34" customFormat="false" ht="15" hidden="false" customHeight="false" outlineLevel="0" collapsed="false">
      <c r="A34" s="19" t="n">
        <v>33</v>
      </c>
      <c r="B34" s="19" t="s">
        <v>1961</v>
      </c>
      <c r="C34" s="20" t="s">
        <v>2025</v>
      </c>
      <c r="D34" s="20" t="s">
        <v>2026</v>
      </c>
      <c r="E34" s="20" t="s">
        <v>1969</v>
      </c>
      <c r="F34" s="19" t="s">
        <v>1965</v>
      </c>
      <c r="G34" s="17" t="s">
        <v>34</v>
      </c>
      <c r="H34" s="17" t="s">
        <v>34</v>
      </c>
      <c r="I34" s="17" t="s">
        <v>34</v>
      </c>
      <c r="J34" s="18"/>
    </row>
    <row r="35" customFormat="false" ht="15" hidden="false" customHeight="false" outlineLevel="0" collapsed="false">
      <c r="A35" s="19" t="n">
        <v>34</v>
      </c>
      <c r="B35" s="19" t="s">
        <v>1954</v>
      </c>
      <c r="C35" s="20" t="s">
        <v>2027</v>
      </c>
      <c r="D35" s="20" t="s">
        <v>2028</v>
      </c>
      <c r="E35" s="20" t="s">
        <v>1738</v>
      </c>
      <c r="F35" s="19" t="s">
        <v>1957</v>
      </c>
      <c r="G35" s="17" t="s">
        <v>34</v>
      </c>
      <c r="H35" s="17" t="s">
        <v>34</v>
      </c>
      <c r="I35" s="17" t="s">
        <v>34</v>
      </c>
      <c r="J35" s="18"/>
    </row>
    <row r="36" customFormat="false" ht="15" hidden="false" customHeight="false" outlineLevel="0" collapsed="false">
      <c r="A36" s="19" t="n">
        <v>35</v>
      </c>
      <c r="B36" s="19" t="s">
        <v>1954</v>
      </c>
      <c r="C36" s="20" t="s">
        <v>2029</v>
      </c>
      <c r="D36" s="20" t="s">
        <v>2030</v>
      </c>
      <c r="E36" s="20" t="s">
        <v>1969</v>
      </c>
      <c r="F36" s="19" t="s">
        <v>1957</v>
      </c>
      <c r="G36" s="17" t="s">
        <v>34</v>
      </c>
      <c r="H36" s="17" t="s">
        <v>34</v>
      </c>
      <c r="I36" s="17" t="s">
        <v>34</v>
      </c>
      <c r="J36" s="18"/>
    </row>
    <row r="37" customFormat="false" ht="15" hidden="false" customHeight="false" outlineLevel="0" collapsed="false">
      <c r="A37" s="19" t="n">
        <v>36</v>
      </c>
      <c r="B37" s="19" t="s">
        <v>1961</v>
      </c>
      <c r="C37" s="20" t="s">
        <v>2029</v>
      </c>
      <c r="D37" s="20" t="s">
        <v>2031</v>
      </c>
      <c r="E37" s="20" t="s">
        <v>1969</v>
      </c>
      <c r="F37" s="19" t="s">
        <v>1965</v>
      </c>
      <c r="G37" s="17" t="s">
        <v>34</v>
      </c>
      <c r="H37" s="17" t="s">
        <v>34</v>
      </c>
      <c r="I37" s="17" t="s">
        <v>34</v>
      </c>
      <c r="J37" s="18"/>
    </row>
    <row r="38" customFormat="false" ht="15" hidden="false" customHeight="false" outlineLevel="0" collapsed="false">
      <c r="A38" s="19" t="n">
        <v>37</v>
      </c>
      <c r="B38" s="19" t="s">
        <v>1961</v>
      </c>
      <c r="C38" s="20" t="s">
        <v>2032</v>
      </c>
      <c r="D38" s="20" t="s">
        <v>2033</v>
      </c>
      <c r="E38" s="20" t="s">
        <v>2034</v>
      </c>
      <c r="F38" s="19" t="s">
        <v>1965</v>
      </c>
      <c r="G38" s="17" t="s">
        <v>34</v>
      </c>
      <c r="H38" s="17" t="s">
        <v>34</v>
      </c>
      <c r="I38" s="17" t="s">
        <v>34</v>
      </c>
      <c r="J38" s="18"/>
    </row>
    <row r="39" customFormat="false" ht="15" hidden="false" customHeight="false" outlineLevel="0" collapsed="false">
      <c r="A39" s="19" t="n">
        <v>38</v>
      </c>
      <c r="B39" s="19" t="s">
        <v>1961</v>
      </c>
      <c r="C39" s="20" t="s">
        <v>2035</v>
      </c>
      <c r="D39" s="20" t="s">
        <v>2036</v>
      </c>
      <c r="E39" s="20" t="s">
        <v>2037</v>
      </c>
      <c r="F39" s="19" t="s">
        <v>1965</v>
      </c>
      <c r="G39" s="17" t="s">
        <v>34</v>
      </c>
      <c r="H39" s="17" t="s">
        <v>34</v>
      </c>
      <c r="I39" s="17" t="s">
        <v>34</v>
      </c>
      <c r="J39" s="18"/>
    </row>
    <row r="40" customFormat="false" ht="15" hidden="false" customHeight="false" outlineLevel="0" collapsed="false">
      <c r="A40" s="19" t="n">
        <v>39</v>
      </c>
      <c r="B40" s="19" t="s">
        <v>1961</v>
      </c>
      <c r="C40" s="20" t="s">
        <v>2038</v>
      </c>
      <c r="D40" s="20" t="s">
        <v>2039</v>
      </c>
      <c r="E40" s="20" t="s">
        <v>2037</v>
      </c>
      <c r="F40" s="19" t="s">
        <v>1965</v>
      </c>
      <c r="G40" s="17" t="s">
        <v>34</v>
      </c>
      <c r="H40" s="17" t="s">
        <v>34</v>
      </c>
      <c r="I40" s="17" t="s">
        <v>34</v>
      </c>
      <c r="J40" s="18"/>
    </row>
    <row r="41" customFormat="false" ht="15" hidden="false" customHeight="false" outlineLevel="0" collapsed="false">
      <c r="A41" s="19" t="n">
        <v>40</v>
      </c>
      <c r="B41" s="19" t="s">
        <v>1961</v>
      </c>
      <c r="C41" s="20" t="s">
        <v>2040</v>
      </c>
      <c r="D41" s="20" t="s">
        <v>2041</v>
      </c>
      <c r="E41" s="20" t="s">
        <v>2042</v>
      </c>
      <c r="F41" s="19" t="s">
        <v>1965</v>
      </c>
      <c r="G41" s="17" t="s">
        <v>34</v>
      </c>
      <c r="H41" s="17" t="s">
        <v>34</v>
      </c>
      <c r="I41" s="17" t="s">
        <v>34</v>
      </c>
      <c r="J41" s="18"/>
    </row>
    <row r="42" customFormat="false" ht="15" hidden="false" customHeight="false" outlineLevel="0" collapsed="false">
      <c r="A42" s="19" t="n">
        <v>41</v>
      </c>
      <c r="B42" s="19" t="s">
        <v>1961</v>
      </c>
      <c r="C42" s="20" t="s">
        <v>2043</v>
      </c>
      <c r="D42" s="20" t="s">
        <v>2044</v>
      </c>
      <c r="E42" s="20" t="s">
        <v>2042</v>
      </c>
      <c r="F42" s="19" t="s">
        <v>1965</v>
      </c>
      <c r="G42" s="17" t="s">
        <v>34</v>
      </c>
      <c r="H42" s="17" t="s">
        <v>34</v>
      </c>
      <c r="I42" s="17" t="s">
        <v>34</v>
      </c>
      <c r="J42" s="18"/>
    </row>
    <row r="43" customFormat="false" ht="15" hidden="false" customHeight="false" outlineLevel="0" collapsed="false">
      <c r="A43" s="19" t="n">
        <v>42</v>
      </c>
      <c r="B43" s="19" t="s">
        <v>1954</v>
      </c>
      <c r="C43" s="20" t="s">
        <v>2045</v>
      </c>
      <c r="D43" s="20" t="s">
        <v>2046</v>
      </c>
      <c r="E43" s="20" t="s">
        <v>2047</v>
      </c>
      <c r="F43" s="19" t="s">
        <v>1957</v>
      </c>
      <c r="G43" s="17" t="s">
        <v>34</v>
      </c>
      <c r="H43" s="17" t="s">
        <v>34</v>
      </c>
      <c r="I43" s="17" t="s">
        <v>34</v>
      </c>
      <c r="J43" s="18"/>
    </row>
    <row r="44" customFormat="false" ht="15" hidden="false" customHeight="false" outlineLevel="0" collapsed="false">
      <c r="A44" s="19" t="n">
        <v>43</v>
      </c>
      <c r="B44" s="19" t="s">
        <v>1954</v>
      </c>
      <c r="C44" s="20" t="s">
        <v>2048</v>
      </c>
      <c r="D44" s="20" t="s">
        <v>2049</v>
      </c>
      <c r="E44" s="20" t="s">
        <v>929</v>
      </c>
      <c r="F44" s="19" t="s">
        <v>1957</v>
      </c>
      <c r="G44" s="17" t="s">
        <v>34</v>
      </c>
      <c r="H44" s="17" t="s">
        <v>34</v>
      </c>
      <c r="I44" s="17" t="s">
        <v>34</v>
      </c>
      <c r="J44" s="18"/>
    </row>
    <row r="45" customFormat="false" ht="15" hidden="false" customHeight="false" outlineLevel="0" collapsed="false">
      <c r="A45" s="19" t="n">
        <v>44</v>
      </c>
      <c r="B45" s="19" t="s">
        <v>1995</v>
      </c>
      <c r="C45" s="20" t="s">
        <v>2050</v>
      </c>
      <c r="D45" s="20" t="s">
        <v>1997</v>
      </c>
      <c r="E45" s="20" t="s">
        <v>929</v>
      </c>
      <c r="F45" s="19" t="s">
        <v>1965</v>
      </c>
      <c r="G45" s="17" t="s">
        <v>34</v>
      </c>
      <c r="H45" s="17" t="s">
        <v>34</v>
      </c>
      <c r="I45" s="17" t="s">
        <v>34</v>
      </c>
      <c r="J45" s="18"/>
    </row>
    <row r="46" customFormat="false" ht="15" hidden="false" customHeight="false" outlineLevel="0" collapsed="false">
      <c r="A46" s="19" t="n">
        <v>45</v>
      </c>
      <c r="B46" s="19" t="s">
        <v>1966</v>
      </c>
      <c r="C46" s="20" t="s">
        <v>2051</v>
      </c>
      <c r="D46" s="20" t="s">
        <v>2052</v>
      </c>
      <c r="E46" s="20" t="s">
        <v>929</v>
      </c>
      <c r="F46" s="19" t="s">
        <v>1965</v>
      </c>
      <c r="G46" s="17" t="s">
        <v>34</v>
      </c>
      <c r="H46" s="17" t="s">
        <v>34</v>
      </c>
      <c r="I46" s="17" t="s">
        <v>34</v>
      </c>
      <c r="J46" s="18"/>
    </row>
    <row r="47" customFormat="false" ht="15" hidden="false" customHeight="false" outlineLevel="0" collapsed="false">
      <c r="A47" s="19" t="n">
        <v>46</v>
      </c>
      <c r="B47" s="19" t="s">
        <v>1954</v>
      </c>
      <c r="C47" s="20" t="s">
        <v>2025</v>
      </c>
      <c r="D47" s="20" t="s">
        <v>2053</v>
      </c>
      <c r="E47" s="20" t="s">
        <v>1969</v>
      </c>
      <c r="F47" s="19" t="s">
        <v>1957</v>
      </c>
      <c r="G47" s="17" t="s">
        <v>34</v>
      </c>
      <c r="H47" s="17" t="s">
        <v>34</v>
      </c>
      <c r="I47" s="17" t="s">
        <v>34</v>
      </c>
      <c r="J47" s="18"/>
    </row>
    <row r="48" customFormat="false" ht="15" hidden="false" customHeight="false" outlineLevel="0" collapsed="false">
      <c r="A48" s="19" t="n">
        <v>47</v>
      </c>
      <c r="B48" s="19" t="s">
        <v>1966</v>
      </c>
      <c r="C48" s="20" t="s">
        <v>2025</v>
      </c>
      <c r="D48" s="20" t="s">
        <v>2054</v>
      </c>
      <c r="E48" s="20" t="s">
        <v>1969</v>
      </c>
      <c r="F48" s="19" t="s">
        <v>1965</v>
      </c>
      <c r="G48" s="17" t="s">
        <v>34</v>
      </c>
      <c r="H48" s="17" t="s">
        <v>34</v>
      </c>
      <c r="I48" s="17" t="s">
        <v>34</v>
      </c>
      <c r="J48" s="18"/>
    </row>
    <row r="49" customFormat="false" ht="15" hidden="false" customHeight="false" outlineLevel="0" collapsed="false">
      <c r="A49" s="19" t="n">
        <v>48</v>
      </c>
      <c r="B49" s="19" t="s">
        <v>1954</v>
      </c>
      <c r="C49" s="20" t="s">
        <v>2055</v>
      </c>
      <c r="D49" s="20" t="s">
        <v>2056</v>
      </c>
      <c r="E49" s="20" t="s">
        <v>1969</v>
      </c>
      <c r="F49" s="19" t="s">
        <v>1957</v>
      </c>
      <c r="G49" s="17" t="s">
        <v>34</v>
      </c>
      <c r="H49" s="17" t="s">
        <v>34</v>
      </c>
      <c r="I49" s="17" t="s">
        <v>34</v>
      </c>
      <c r="J49" s="18"/>
    </row>
    <row r="50" customFormat="false" ht="15" hidden="false" customHeight="false" outlineLevel="0" collapsed="false">
      <c r="A50" s="19" t="n">
        <v>49</v>
      </c>
      <c r="B50" s="19" t="s">
        <v>1961</v>
      </c>
      <c r="C50" s="20" t="s">
        <v>2057</v>
      </c>
      <c r="D50" s="20" t="s">
        <v>2058</v>
      </c>
      <c r="E50" s="20" t="s">
        <v>1969</v>
      </c>
      <c r="F50" s="19" t="s">
        <v>1965</v>
      </c>
      <c r="G50" s="17" t="s">
        <v>34</v>
      </c>
      <c r="H50" s="17" t="s">
        <v>34</v>
      </c>
      <c r="I50" s="17" t="s">
        <v>34</v>
      </c>
      <c r="J50" s="18"/>
    </row>
    <row r="51" customFormat="false" ht="15" hidden="false" customHeight="false" outlineLevel="0" collapsed="false">
      <c r="A51" s="19" t="n">
        <v>50</v>
      </c>
      <c r="B51" s="19" t="s">
        <v>1954</v>
      </c>
      <c r="C51" s="20" t="s">
        <v>2059</v>
      </c>
      <c r="D51" s="20" t="s">
        <v>2060</v>
      </c>
      <c r="E51" s="20" t="s">
        <v>1969</v>
      </c>
      <c r="F51" s="19" t="s">
        <v>1957</v>
      </c>
      <c r="G51" s="17" t="s">
        <v>34</v>
      </c>
      <c r="H51" s="17" t="s">
        <v>34</v>
      </c>
      <c r="I51" s="17" t="s">
        <v>34</v>
      </c>
      <c r="J51" s="18"/>
    </row>
    <row r="52" customFormat="false" ht="15" hidden="false" customHeight="false" outlineLevel="0" collapsed="false">
      <c r="A52" s="19" t="n">
        <v>51</v>
      </c>
      <c r="B52" s="19" t="s">
        <v>1961</v>
      </c>
      <c r="C52" s="20" t="s">
        <v>2061</v>
      </c>
      <c r="D52" s="20" t="s">
        <v>2062</v>
      </c>
      <c r="E52" s="20" t="s">
        <v>2063</v>
      </c>
      <c r="F52" s="19" t="s">
        <v>1965</v>
      </c>
      <c r="G52" s="17" t="s">
        <v>34</v>
      </c>
      <c r="H52" s="17" t="s">
        <v>34</v>
      </c>
      <c r="I52" s="17" t="s">
        <v>34</v>
      </c>
      <c r="J52" s="18"/>
    </row>
    <row r="53" customFormat="false" ht="15" hidden="false" customHeight="false" outlineLevel="0" collapsed="false">
      <c r="A53" s="19" t="n">
        <v>52</v>
      </c>
      <c r="B53" s="19" t="s">
        <v>1966</v>
      </c>
      <c r="C53" s="20" t="s">
        <v>2064</v>
      </c>
      <c r="D53" s="20" t="s">
        <v>2065</v>
      </c>
      <c r="E53" s="20" t="s">
        <v>2066</v>
      </c>
      <c r="F53" s="19" t="s">
        <v>1965</v>
      </c>
      <c r="G53" s="17" t="s">
        <v>34</v>
      </c>
      <c r="H53" s="17" t="s">
        <v>34</v>
      </c>
      <c r="I53" s="17" t="s">
        <v>34</v>
      </c>
      <c r="J53" s="18"/>
    </row>
    <row r="54" customFormat="false" ht="15" hidden="false" customHeight="false" outlineLevel="0" collapsed="false">
      <c r="A54" s="19" t="n">
        <v>53</v>
      </c>
      <c r="B54" s="19" t="s">
        <v>1961</v>
      </c>
      <c r="C54" s="20" t="s">
        <v>2067</v>
      </c>
      <c r="D54" s="20" t="s">
        <v>2068</v>
      </c>
      <c r="E54" s="20" t="s">
        <v>2066</v>
      </c>
      <c r="F54" s="19" t="s">
        <v>1965</v>
      </c>
      <c r="G54" s="17" t="s">
        <v>34</v>
      </c>
      <c r="H54" s="17" t="s">
        <v>34</v>
      </c>
      <c r="I54" s="17" t="s">
        <v>34</v>
      </c>
      <c r="J54" s="18"/>
    </row>
    <row r="55" customFormat="false" ht="15" hidden="false" customHeight="false" outlineLevel="0" collapsed="false">
      <c r="A55" s="19" t="n">
        <v>54</v>
      </c>
      <c r="B55" s="19" t="s">
        <v>2021</v>
      </c>
      <c r="C55" s="20" t="s">
        <v>2067</v>
      </c>
      <c r="D55" s="20" t="s">
        <v>2069</v>
      </c>
      <c r="E55" s="20" t="s">
        <v>2066</v>
      </c>
      <c r="F55" s="19" t="s">
        <v>1965</v>
      </c>
      <c r="G55" s="17" t="s">
        <v>34</v>
      </c>
      <c r="H55" s="17" t="s">
        <v>34</v>
      </c>
      <c r="I55" s="17" t="s">
        <v>34</v>
      </c>
      <c r="J55" s="18"/>
    </row>
    <row r="56" customFormat="false" ht="15" hidden="false" customHeight="false" outlineLevel="0" collapsed="false">
      <c r="A56" s="19" t="n">
        <v>55</v>
      </c>
      <c r="B56" s="19" t="s">
        <v>1954</v>
      </c>
      <c r="C56" s="20" t="s">
        <v>2057</v>
      </c>
      <c r="D56" s="20" t="s">
        <v>2070</v>
      </c>
      <c r="E56" s="20" t="s">
        <v>1969</v>
      </c>
      <c r="F56" s="19" t="s">
        <v>1957</v>
      </c>
      <c r="G56" s="17" t="s">
        <v>34</v>
      </c>
      <c r="H56" s="17" t="s">
        <v>34</v>
      </c>
      <c r="I56" s="17" t="s">
        <v>34</v>
      </c>
      <c r="J56" s="18"/>
    </row>
    <row r="57" customFormat="false" ht="15" hidden="false" customHeight="false" outlineLevel="0" collapsed="false">
      <c r="A57" s="19" t="n">
        <v>56</v>
      </c>
      <c r="B57" s="19" t="s">
        <v>1966</v>
      </c>
      <c r="C57" s="20" t="s">
        <v>2057</v>
      </c>
      <c r="D57" s="20" t="s">
        <v>2071</v>
      </c>
      <c r="E57" s="20" t="s">
        <v>1969</v>
      </c>
      <c r="F57" s="19" t="s">
        <v>1965</v>
      </c>
      <c r="G57" s="17" t="s">
        <v>34</v>
      </c>
      <c r="H57" s="17" t="s">
        <v>34</v>
      </c>
      <c r="I57" s="17" t="s">
        <v>34</v>
      </c>
      <c r="J57" s="18"/>
    </row>
    <row r="58" customFormat="false" ht="15" hidden="false" customHeight="false" outlineLevel="0" collapsed="false">
      <c r="A58" s="19" t="n">
        <v>57</v>
      </c>
      <c r="B58" s="19" t="s">
        <v>1954</v>
      </c>
      <c r="C58" s="20" t="s">
        <v>2072</v>
      </c>
      <c r="D58" s="20" t="s">
        <v>2073</v>
      </c>
      <c r="E58" s="20" t="s">
        <v>1738</v>
      </c>
      <c r="F58" s="19" t="s">
        <v>1957</v>
      </c>
      <c r="G58" s="17" t="s">
        <v>34</v>
      </c>
      <c r="H58" s="17" t="s">
        <v>34</v>
      </c>
      <c r="I58" s="17" t="s">
        <v>34</v>
      </c>
      <c r="J58" s="18"/>
    </row>
    <row r="59" customFormat="false" ht="15" hidden="false" customHeight="false" outlineLevel="0" collapsed="false">
      <c r="A59" s="19" t="n">
        <v>58</v>
      </c>
      <c r="B59" s="19" t="s">
        <v>1961</v>
      </c>
      <c r="C59" s="20" t="s">
        <v>2074</v>
      </c>
      <c r="D59" s="20" t="s">
        <v>2075</v>
      </c>
      <c r="E59" s="20" t="s">
        <v>2076</v>
      </c>
      <c r="F59" s="19" t="s">
        <v>1965</v>
      </c>
      <c r="G59" s="17" t="s">
        <v>34</v>
      </c>
      <c r="H59" s="17" t="s">
        <v>34</v>
      </c>
      <c r="I59" s="17" t="s">
        <v>34</v>
      </c>
      <c r="J59" s="18"/>
    </row>
    <row r="60" customFormat="false" ht="15" hidden="false" customHeight="false" outlineLevel="0" collapsed="false">
      <c r="A60" s="19" t="n">
        <v>59</v>
      </c>
      <c r="B60" s="19" t="s">
        <v>1961</v>
      </c>
      <c r="C60" s="20" t="s">
        <v>2077</v>
      </c>
      <c r="D60" s="20" t="s">
        <v>2078</v>
      </c>
      <c r="E60" s="20" t="s">
        <v>2079</v>
      </c>
      <c r="F60" s="19" t="s">
        <v>1965</v>
      </c>
      <c r="G60" s="17" t="s">
        <v>34</v>
      </c>
      <c r="H60" s="17" t="s">
        <v>34</v>
      </c>
      <c r="I60" s="17" t="s">
        <v>34</v>
      </c>
      <c r="J60" s="18"/>
    </row>
    <row r="61" customFormat="false" ht="15" hidden="false" customHeight="false" outlineLevel="0" collapsed="false">
      <c r="A61" s="19" t="n">
        <v>60</v>
      </c>
      <c r="B61" s="19" t="s">
        <v>1966</v>
      </c>
      <c r="C61" s="20" t="s">
        <v>2080</v>
      </c>
      <c r="D61" s="20" t="s">
        <v>2081</v>
      </c>
      <c r="E61" s="20" t="s">
        <v>2079</v>
      </c>
      <c r="F61" s="19" t="s">
        <v>1965</v>
      </c>
      <c r="G61" s="17" t="s">
        <v>34</v>
      </c>
      <c r="H61" s="17" t="s">
        <v>34</v>
      </c>
      <c r="I61" s="17" t="s">
        <v>34</v>
      </c>
      <c r="J61" s="18"/>
    </row>
    <row r="62" customFormat="false" ht="15" hidden="false" customHeight="false" outlineLevel="0" collapsed="false">
      <c r="A62" s="19" t="n">
        <v>61</v>
      </c>
      <c r="B62" s="19" t="s">
        <v>1954</v>
      </c>
      <c r="C62" s="20" t="s">
        <v>2082</v>
      </c>
      <c r="D62" s="20" t="s">
        <v>2083</v>
      </c>
      <c r="E62" s="20" t="s">
        <v>2084</v>
      </c>
      <c r="F62" s="19" t="s">
        <v>1957</v>
      </c>
      <c r="G62" s="17" t="s">
        <v>34</v>
      </c>
      <c r="H62" s="17" t="s">
        <v>34</v>
      </c>
      <c r="I62" s="17" t="s">
        <v>34</v>
      </c>
      <c r="J62" s="18"/>
    </row>
  </sheetData>
  <autoFilter ref="A1:J62"/>
  <conditionalFormatting sqref="G2:I62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  <cfRule type="cellIs" priority="5" operator="equal" aboveAverage="0" equalAverage="0" bottom="0" percent="0" rank="0" text="" dxfId="11">
      <formula>"N/A"</formula>
    </cfRule>
  </conditionalFormatting>
  <dataValidations count="1">
    <dataValidation allowBlank="true" errorStyle="stop" operator="between" showDropDown="false" showErrorMessage="false" showInputMessage="false" sqref="G2:I62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2026-10-21T15:51:03Z</dcterms:created>
  <dc:creator>openpyxl</dc:creator>
  <dc:description/>
  <dc:language>en-US</dc:language>
  <cp:lastModifiedBy/>
  <dcterms:modified xsi:type="dcterms:W3CDTF">2026-10-21T15:51:03Z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